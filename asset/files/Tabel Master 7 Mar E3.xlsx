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5600" windowHeight="8535"/>
  </bookViews>
  <sheets>
    <sheet name="Data Unit kerja" sheetId="9" r:id="rId1"/>
    <sheet name="1. Kompetensi " sheetId="1" r:id="rId2"/>
    <sheet name="2. Kompensasi" sheetId="2" r:id="rId3"/>
    <sheet name="3. Kinerja" sheetId="3" r:id="rId4"/>
    <sheet name="4. Disiplin" sheetId="5" r:id="rId5"/>
    <sheet name="Cetak IPP" sheetId="7" r:id="rId6"/>
    <sheet name="CATATAN" sheetId="6" r:id="rId7"/>
    <sheet name="tombol" sheetId="8" r:id="rId8"/>
  </sheets>
  <definedNames>
    <definedName name="_xlnm.Print_Area" localSheetId="1">'1. Kompetensi '!$A$1:$S$36</definedName>
    <definedName name="_xlnm.Print_Titles" localSheetId="1">'1. Kompetensi '!$5:$6</definedName>
    <definedName name="Tmb_yes">tombol!$A$1:$A$2</definedName>
    <definedName name="Tombol">tombol!$A$1:$A$2</definedName>
  </definedNames>
  <calcPr calcId="144525"/>
</workbook>
</file>

<file path=xl/calcChain.xml><?xml version="1.0" encoding="utf-8"?>
<calcChain xmlns="http://schemas.openxmlformats.org/spreadsheetml/2006/main">
  <c r="C27" i="7" l="1"/>
  <c r="C26" i="7"/>
  <c r="C21" i="7"/>
  <c r="O19" i="9"/>
  <c r="J6" i="3"/>
  <c r="J7" i="3"/>
  <c r="J8" i="3"/>
  <c r="J9" i="3"/>
  <c r="J10" i="3"/>
  <c r="J11" i="3"/>
  <c r="J12" i="3"/>
  <c r="J13" i="3"/>
  <c r="J14" i="3"/>
  <c r="I6" i="3"/>
  <c r="I7" i="3"/>
  <c r="I8" i="3"/>
  <c r="I9" i="3"/>
  <c r="I10" i="3"/>
  <c r="I11" i="3"/>
  <c r="I12" i="3"/>
  <c r="I13" i="3"/>
  <c r="I14" i="3"/>
  <c r="B5" i="2" l="1"/>
  <c r="B6" i="2"/>
  <c r="A2" i="7"/>
  <c r="J5" i="3"/>
  <c r="I5" i="3"/>
  <c r="D5" i="2"/>
  <c r="E5" i="2"/>
  <c r="D6" i="2"/>
  <c r="E6" i="2"/>
  <c r="B46" i="9"/>
  <c r="A3" i="7" s="1"/>
  <c r="D49" i="9"/>
  <c r="O26" i="9" s="1"/>
  <c r="C19" i="7" s="1"/>
  <c r="B45" i="9"/>
  <c r="A3" i="1" s="1"/>
  <c r="F25" i="9"/>
  <c r="C7" i="5" s="1"/>
  <c r="D7" i="5" s="1"/>
  <c r="E25" i="9"/>
  <c r="C6" i="5" s="1"/>
  <c r="D6" i="5" s="1"/>
  <c r="D25" i="9"/>
  <c r="C5" i="5" s="1"/>
  <c r="D5" i="5" s="1"/>
  <c r="D13" i="9"/>
  <c r="O20" i="9" s="1"/>
  <c r="R36" i="1"/>
  <c r="R35" i="1"/>
  <c r="O36" i="1"/>
  <c r="O35" i="1"/>
  <c r="L36" i="1"/>
  <c r="L35" i="1"/>
  <c r="I36" i="1"/>
  <c r="I35" i="1"/>
  <c r="E35" i="1"/>
  <c r="B18" i="7" s="1"/>
  <c r="S33" i="1"/>
  <c r="S34" i="1" s="1"/>
  <c r="C7" i="7" s="1"/>
  <c r="M1" i="8"/>
  <c r="D8" i="5" l="1"/>
  <c r="F6" i="2"/>
  <c r="G6" i="2" s="1"/>
  <c r="F5" i="2"/>
  <c r="G5" i="2" s="1"/>
  <c r="G8" i="2" s="1"/>
  <c r="C8" i="7" s="1"/>
  <c r="J17" i="3"/>
  <c r="J18" i="3" s="1"/>
  <c r="D4" i="3" s="1"/>
  <c r="C9" i="7" s="1"/>
  <c r="A3" i="5"/>
  <c r="A4" i="7"/>
  <c r="C8" i="5"/>
  <c r="B8" i="2"/>
  <c r="A3" i="2"/>
  <c r="B16" i="7"/>
  <c r="B15" i="7"/>
  <c r="B17" i="7"/>
  <c r="B14" i="7"/>
  <c r="D9" i="5" l="1"/>
  <c r="C10" i="7" s="1"/>
  <c r="C11" i="7" s="1"/>
</calcChain>
</file>

<file path=xl/sharedStrings.xml><?xml version="1.0" encoding="utf-8"?>
<sst xmlns="http://schemas.openxmlformats.org/spreadsheetml/2006/main" count="149" uniqueCount="118">
  <si>
    <t>No.</t>
  </si>
  <si>
    <t xml:space="preserve"> Jabatan </t>
  </si>
  <si>
    <t>Nama Pejabat</t>
  </si>
  <si>
    <t xml:space="preserve">Pengalaman </t>
  </si>
  <si>
    <t>Gaps</t>
  </si>
  <si>
    <t xml:space="preserve">Metode  Penghitungan Kompetensi </t>
  </si>
  <si>
    <t xml:space="preserve">Tertinggi </t>
  </si>
  <si>
    <t xml:space="preserve">Selisih  </t>
  </si>
  <si>
    <t xml:space="preserve">Total </t>
  </si>
  <si>
    <t xml:space="preserve">Metode Penghitungan Disiplin </t>
  </si>
  <si>
    <t>No</t>
  </si>
  <si>
    <t xml:space="preserve">Jenis Pelanggaran </t>
  </si>
  <si>
    <t xml:space="preserve">Jumlah </t>
  </si>
  <si>
    <t xml:space="preserve">Berat </t>
  </si>
  <si>
    <t xml:space="preserve">Sedang </t>
  </si>
  <si>
    <t xml:space="preserve">Ringan </t>
  </si>
  <si>
    <t xml:space="preserve">Metode Penghitungan Kinerja </t>
  </si>
  <si>
    <t xml:space="preserve">Rata Rata Kinerja (SKP) </t>
  </si>
  <si>
    <t xml:space="preserve">Fungsi </t>
  </si>
  <si>
    <t>Pendidikan</t>
  </si>
  <si>
    <t xml:space="preserve">Pelatihan </t>
  </si>
  <si>
    <t xml:space="preserve">Administrasi </t>
  </si>
  <si>
    <t>Y</t>
  </si>
  <si>
    <t>N</t>
  </si>
  <si>
    <t>NIP</t>
  </si>
  <si>
    <t xml:space="preserve">*Penilaian Objektif </t>
  </si>
  <si>
    <t>Diklat Administrasi = Diklat Kepemimpinan (LATPIM), dll</t>
  </si>
  <si>
    <t>A</t>
  </si>
  <si>
    <t>B</t>
  </si>
  <si>
    <t>- Pendidikan = Pendidikan formal (PF)</t>
  </si>
  <si>
    <t>- Pelatihan = Pelatihan yang pernah diikuti (LAT)</t>
  </si>
  <si>
    <t>- Pengalaman = Jabatan yang pernah diduduki (LAM)</t>
  </si>
  <si>
    <t xml:space="preserve">*Catatan: </t>
  </si>
  <si>
    <t>* Yes = Jika semua A Yes dan B Yes</t>
  </si>
  <si>
    <t>* Yes = Jika salah satu A Yes dan B Yes</t>
  </si>
  <si>
    <t>* No = Jika semua atau salah satu A No dan B Yes</t>
  </si>
  <si>
    <t>* No = Jika semua atau salah satu A Yes dan B No</t>
  </si>
  <si>
    <t>* No = Jika semua atau salah satu A No dan B No</t>
  </si>
  <si>
    <t>Jabatan</t>
  </si>
  <si>
    <t>Nilai SKP</t>
  </si>
  <si>
    <t>Jumlah Pejabat</t>
  </si>
  <si>
    <t>Jumlah</t>
  </si>
  <si>
    <t xml:space="preserve"> Selisih terhadap Terendah </t>
  </si>
  <si>
    <t>Nilai</t>
  </si>
  <si>
    <t>Unsur Penilaian</t>
  </si>
  <si>
    <t xml:space="preserve">Kinerja </t>
  </si>
  <si>
    <t>C</t>
  </si>
  <si>
    <t>D</t>
  </si>
  <si>
    <t>= (25 x (1 - A)) + (25 x (1 -B)) + ((25 x C)/100) + (25 x (1 - D))</t>
  </si>
  <si>
    <t xml:space="preserve">IPP </t>
  </si>
  <si>
    <t xml:space="preserve">Indeks Profesional Pegawai (IPP) </t>
  </si>
  <si>
    <t xml:space="preserve">Rumus: </t>
  </si>
  <si>
    <t xml:space="preserve"> Indeks Profesional Pegawai (IPP)</t>
  </si>
  <si>
    <t>Metode Penghitungan Kompensasi</t>
  </si>
  <si>
    <t>Rata-rata</t>
  </si>
  <si>
    <t>Pelanggaran</t>
  </si>
  <si>
    <t>Terendah</t>
  </si>
  <si>
    <t>Indisipliner</t>
  </si>
  <si>
    <t>Y / N</t>
  </si>
  <si>
    <t>Kosong</t>
  </si>
  <si>
    <t>Catatan:</t>
  </si>
  <si>
    <t xml:space="preserve">Unit : </t>
  </si>
  <si>
    <t>Eselon</t>
  </si>
  <si>
    <t>III</t>
  </si>
  <si>
    <t>IV</t>
  </si>
  <si>
    <t>Total Pegawai</t>
  </si>
  <si>
    <r>
      <rPr>
        <b/>
        <sz val="12"/>
        <color theme="1"/>
        <rFont val="Calibri"/>
        <family val="2"/>
        <scheme val="minor"/>
      </rPr>
      <t>TIDAK DIANJURKAN</t>
    </r>
    <r>
      <rPr>
        <sz val="12"/>
        <color theme="1"/>
        <rFont val="Calibri"/>
        <family val="2"/>
        <scheme val="minor"/>
      </rPr>
      <t xml:space="preserve"> mengubah pengaturan tabel penghitungan IPASN ini tanpa konfirmasi dengan BKPSDMD terlebih dulu</t>
    </r>
  </si>
  <si>
    <t>DATA UNIT KERJA</t>
  </si>
  <si>
    <t>4. CAPAIAN KINERJA PEGAWAI TAHUN 2016</t>
  </si>
  <si>
    <t xml:space="preserve">PENGHITUNGAN INDEKS PROFESIONALITAS APARATUR SIPIL NEGARA </t>
  </si>
  <si>
    <t>Jabatan *)</t>
  </si>
  <si>
    <t>Nilai P2KP</t>
  </si>
  <si>
    <t>ORGANISASI</t>
  </si>
  <si>
    <t>:</t>
  </si>
  <si>
    <t>PEMERINTAH KABUPATEN BANGKA</t>
  </si>
  <si>
    <t>UNIT KERJA</t>
  </si>
  <si>
    <t>TAHUN</t>
  </si>
  <si>
    <t>1. JUMLAH JABATAN *)</t>
  </si>
  <si>
    <t>ESELON III</t>
  </si>
  <si>
    <t>ESELON IV</t>
  </si>
  <si>
    <t xml:space="preserve">JUMLAH </t>
  </si>
  <si>
    <t>2. DATA TUNJANGAN PERBAIKAN PENGHASILAN (BUKAN GAJI)</t>
  </si>
  <si>
    <t>ESELON</t>
  </si>
  <si>
    <t>TERTINGGI</t>
  </si>
  <si>
    <t>TERENDAH</t>
  </si>
  <si>
    <t>3. JUMLAH PEJABAT STRUKTURAL YANG DIJATUHI HUKUMAN DISIPLIN</t>
  </si>
  <si>
    <t>BERAT</t>
  </si>
  <si>
    <t>SEDANG</t>
  </si>
  <si>
    <t>RINGAN</t>
  </si>
  <si>
    <t>*) Jumlah jabatan pada angka 1 dan 4 harus sama</t>
  </si>
  <si>
    <r>
      <t xml:space="preserve">Jika terdapat Jabatan yang kosong, nama jabatan tetap diisi, </t>
    </r>
    <r>
      <rPr>
        <b/>
        <sz val="12"/>
        <color theme="1"/>
        <rFont val="Calibri"/>
        <family val="2"/>
        <scheme val="minor"/>
      </rPr>
      <t>Nilai P2KP</t>
    </r>
    <r>
      <rPr>
        <sz val="12"/>
        <color theme="1"/>
        <rFont val="Calibri"/>
        <family val="2"/>
        <scheme val="minor"/>
      </rPr>
      <t xml:space="preserve"> diisi dengan angka 0</t>
    </r>
  </si>
  <si>
    <t>JUMLAH</t>
  </si>
  <si>
    <t>DISUSUN DI</t>
  </si>
  <si>
    <t>Sungailiat</t>
  </si>
  <si>
    <t>TANGGAL</t>
  </si>
  <si>
    <t>Kerpala BKPSDMD</t>
  </si>
  <si>
    <t>SURTAM, S.IP</t>
  </si>
  <si>
    <t>NIP 19601211 198503 1 010</t>
  </si>
  <si>
    <t>**) CATATAN</t>
  </si>
  <si>
    <t>Petunjuk pengisian:</t>
  </si>
  <si>
    <t xml:space="preserve">    a. Nama Jabatan sesuai Perda tentang SOTK OPD masing-masing</t>
  </si>
  <si>
    <t xml:space="preserve">    b. Fungsi jabatan sesuai Peraturan Bupati Bangka tentang penjabaran Tugas/Fungsi OPD </t>
  </si>
  <si>
    <r>
      <t xml:space="preserve">        sebanyak maksimum 3 (tiga) yang menjadi </t>
    </r>
    <r>
      <rPr>
        <b/>
        <i/>
        <sz val="12"/>
        <color theme="1"/>
        <rFont val="Calibri"/>
        <family val="2"/>
        <scheme val="minor"/>
      </rPr>
      <t>core business</t>
    </r>
    <r>
      <rPr>
        <sz val="12"/>
        <color theme="1"/>
        <rFont val="Calibri"/>
        <family val="2"/>
        <scheme val="minor"/>
      </rPr>
      <t xml:space="preserve"> jabatan</t>
    </r>
  </si>
  <si>
    <t xml:space="preserve">    c. Nama pejabat, NIP sesuai kolom yang disediakan</t>
  </si>
  <si>
    <t xml:space="preserve">    d. Pendidikan (contoh S1 Ilmu Hukum)</t>
  </si>
  <si>
    <t xml:space="preserve">    e. Pelatihan Teknis. (tuliskan jenis pelatihan teknis yang pernah diikuti s.d Tahun 2016)</t>
  </si>
  <si>
    <t xml:space="preserve">        maksimum 3 (tiga) nama pelatihan (Contoh: Diklat SAKIP/Lakip, TOT, MOT, dll)</t>
  </si>
  <si>
    <t xml:space="preserve">     f. Pengalaman. (Tuliskan pengalaman kerja/jabatan yang pernah dijabat sebelumnya)</t>
  </si>
  <si>
    <t xml:space="preserve">         maksimum 3 (tiga) jabatan sebelumnya</t>
  </si>
  <si>
    <t xml:space="preserve">     g. Administrasi atau Diklatpim; Tuliskan Diklatpim II/III/IV sesuai jabatannya</t>
  </si>
  <si>
    <t xml:space="preserve">         Contoh: Agus saat ini menjabat sebagai Kepala Bidang Sistem Informasi, </t>
  </si>
  <si>
    <r>
      <t xml:space="preserve">         pada kolom Administrasi diisi </t>
    </r>
    <r>
      <rPr>
        <b/>
        <sz val="12"/>
        <color theme="1"/>
        <rFont val="Calibri"/>
        <family val="2"/>
        <scheme val="minor"/>
      </rPr>
      <t>Diklatpim III</t>
    </r>
  </si>
  <si>
    <t>3. Penentuan Yes/No akan dilakukan oleh BKPSDMD</t>
  </si>
  <si>
    <t xml:space="preserve">diisi nama Unit Kerja </t>
  </si>
  <si>
    <r>
      <t xml:space="preserve">1. Kasubbag Umum / Pegelola Kepegawaian mengisi data kepegawaian terlebih dulu dari tab </t>
    </r>
    <r>
      <rPr>
        <b/>
        <i/>
        <sz val="12"/>
        <color theme="1"/>
        <rFont val="Calibri"/>
        <family val="2"/>
        <scheme val="minor"/>
      </rPr>
      <t>Data Unit Kerja (tab kuning)</t>
    </r>
  </si>
  <si>
    <t>2. Kasubbag Umum SKPD / Pengelola Kepegawaian mengisi data tab Kompetensi berdasarkan peta jabatan dengan komponen-komponen:</t>
  </si>
  <si>
    <t xml:space="preserve">Kesenjangan (gap) Kompetensi </t>
  </si>
  <si>
    <t>Kesenjangan (gap) Kompensasi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</si>
</sst>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.00_);_(* \(#,##0.00\);_(* &quot;-&quot;_);_(@_)"/>
    <numFmt numFmtId="166" formatCode="[=0]&quot;Yes&quot;;[=1]&quot;No&quot;"/>
    <numFmt numFmtId="167" formatCode="[=0]&quot;Y&quot;;[=1]&quot;N&quot;"/>
    <numFmt numFmtId="168" formatCode="yyyy"/>
    <numFmt numFmtId="169" formatCode="dd\ mmmm\ yyyy"/>
  </numFmts>
  <fonts count="27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7030A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5" fillId="0" borderId="0"/>
  </cellStyleXfs>
  <cellXfs count="149">
    <xf numFmtId="0" fontId="0" fillId="0" borderId="0" xfId="0"/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vertical="top" wrapText="1"/>
    </xf>
    <xf numFmtId="0" fontId="6" fillId="2" borderId="9" xfId="0" applyFont="1" applyFill="1" applyBorder="1" applyAlignment="1">
      <alignment horizontal="left" vertical="center" wrapText="1" readingOrder="1"/>
    </xf>
    <xf numFmtId="0" fontId="7" fillId="0" borderId="0" xfId="0" applyFont="1"/>
    <xf numFmtId="0" fontId="6" fillId="3" borderId="10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0" fontId="9" fillId="0" borderId="0" xfId="0" applyFont="1" applyBorder="1" applyAlignment="1"/>
    <xf numFmtId="0" fontId="1" fillId="2" borderId="9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quotePrefix="1"/>
    <xf numFmtId="0" fontId="2" fillId="2" borderId="12" xfId="0" quotePrefix="1" applyFont="1" applyFill="1" applyBorder="1" applyAlignment="1">
      <alignment vertical="top" wrapText="1"/>
    </xf>
    <xf numFmtId="0" fontId="2" fillId="2" borderId="12" xfId="0" quotePrefix="1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0" fontId="11" fillId="4" borderId="1" xfId="0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2" borderId="12" xfId="0" applyFont="1" applyFill="1" applyBorder="1" applyAlignment="1">
      <alignment vertical="top" wrapText="1"/>
    </xf>
    <xf numFmtId="2" fontId="13" fillId="6" borderId="0" xfId="0" applyNumberFormat="1" applyFont="1" applyFill="1"/>
    <xf numFmtId="0" fontId="14" fillId="0" borderId="0" xfId="0" applyFont="1"/>
    <xf numFmtId="0" fontId="15" fillId="0" borderId="0" xfId="0" applyFont="1" applyAlignment="1"/>
    <xf numFmtId="165" fontId="14" fillId="0" borderId="1" xfId="0" applyNumberFormat="1" applyFont="1" applyBorder="1"/>
    <xf numFmtId="0" fontId="1" fillId="3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4" fillId="7" borderId="1" xfId="0" applyFont="1" applyFill="1" applyBorder="1" applyAlignment="1">
      <alignment horizontal="center" vertical="center"/>
    </xf>
    <xf numFmtId="0" fontId="9" fillId="0" borderId="13" xfId="0" applyFont="1" applyBorder="1" applyAlignment="1"/>
    <xf numFmtId="1" fontId="2" fillId="2" borderId="1" xfId="1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1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vertical="top" wrapText="1"/>
    </xf>
    <xf numFmtId="164" fontId="1" fillId="2" borderId="1" xfId="1" applyFont="1" applyFill="1" applyBorder="1" applyAlignment="1">
      <alignment vertical="top" wrapText="1"/>
    </xf>
    <xf numFmtId="0" fontId="15" fillId="0" borderId="0" xfId="0" applyFont="1" applyAlignment="1">
      <alignment horizontal="center"/>
    </xf>
    <xf numFmtId="164" fontId="2" fillId="3" borderId="1" xfId="1" applyFont="1" applyFill="1" applyBorder="1" applyAlignment="1">
      <alignment horizontal="right" vertical="top" wrapText="1"/>
    </xf>
    <xf numFmtId="2" fontId="2" fillId="2" borderId="9" xfId="0" applyNumberFormat="1" applyFont="1" applyFill="1" applyBorder="1" applyAlignment="1">
      <alignment vertical="top" wrapText="1"/>
    </xf>
    <xf numFmtId="0" fontId="11" fillId="4" borderId="2" xfId="0" applyFont="1" applyFill="1" applyBorder="1" applyAlignment="1">
      <alignment horizontal="center" vertical="center" wrapText="1" readingOrder="1"/>
    </xf>
    <xf numFmtId="0" fontId="0" fillId="0" borderId="0" xfId="0"/>
    <xf numFmtId="0" fontId="2" fillId="2" borderId="12" xfId="0" quotePrefix="1" applyFont="1" applyFill="1" applyBorder="1" applyAlignment="1">
      <alignment vertical="top" wrapText="1"/>
    </xf>
    <xf numFmtId="0" fontId="14" fillId="0" borderId="0" xfId="0" applyFont="1"/>
    <xf numFmtId="0" fontId="16" fillId="4" borderId="1" xfId="0" applyFont="1" applyFill="1" applyBorder="1" applyAlignment="1">
      <alignment horizontal="center" vertical="center" wrapText="1" readingOrder="1"/>
    </xf>
    <xf numFmtId="2" fontId="2" fillId="8" borderId="12" xfId="2" applyNumberFormat="1" applyFont="1" applyFill="1" applyBorder="1" applyAlignment="1">
      <alignment horizontal="center" vertical="top" wrapText="1"/>
    </xf>
    <xf numFmtId="0" fontId="5" fillId="0" borderId="0" xfId="3"/>
    <xf numFmtId="1" fontId="5" fillId="0" borderId="0" xfId="3" applyNumberFormat="1"/>
    <xf numFmtId="0" fontId="5" fillId="9" borderId="0" xfId="3" applyFill="1"/>
    <xf numFmtId="0" fontId="17" fillId="7" borderId="0" xfId="3" applyFont="1" applyFill="1"/>
    <xf numFmtId="1" fontId="17" fillId="7" borderId="0" xfId="3" applyNumberFormat="1" applyFont="1" applyFill="1"/>
    <xf numFmtId="0" fontId="14" fillId="9" borderId="0" xfId="3" applyFont="1" applyFill="1"/>
    <xf numFmtId="167" fontId="14" fillId="9" borderId="0" xfId="3" applyNumberFormat="1" applyFont="1" applyFill="1"/>
    <xf numFmtId="167" fontId="18" fillId="10" borderId="0" xfId="3" applyNumberFormat="1" applyFont="1" applyFill="1" applyAlignment="1">
      <alignment horizontal="center" vertical="top"/>
    </xf>
    <xf numFmtId="166" fontId="17" fillId="0" borderId="0" xfId="3" applyNumberFormat="1" applyFont="1"/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right" vertical="top" wrapText="1"/>
    </xf>
    <xf numFmtId="0" fontId="11" fillId="4" borderId="1" xfId="0" applyFont="1" applyFill="1" applyBorder="1" applyAlignment="1">
      <alignment horizontal="center" vertical="center" wrapText="1" readingOrder="1"/>
    </xf>
    <xf numFmtId="164" fontId="2" fillId="2" borderId="1" xfId="1" applyFont="1" applyFill="1" applyBorder="1" applyAlignment="1">
      <alignment vertical="top" wrapText="1"/>
    </xf>
    <xf numFmtId="0" fontId="2" fillId="2" borderId="17" xfId="0" quotePrefix="1" applyFont="1" applyFill="1" applyBorder="1" applyAlignment="1">
      <alignment vertical="top" wrapText="1"/>
    </xf>
    <xf numFmtId="0" fontId="7" fillId="0" borderId="0" xfId="0" applyFont="1" applyBorder="1" applyAlignment="1">
      <alignment horizontal="left"/>
    </xf>
    <xf numFmtId="0" fontId="18" fillId="0" borderId="0" xfId="0" applyFont="1"/>
    <xf numFmtId="0" fontId="10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7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68" fontId="7" fillId="0" borderId="0" xfId="0" applyNumberFormat="1" applyFont="1"/>
    <xf numFmtId="0" fontId="7" fillId="0" borderId="0" xfId="0" applyFont="1" applyBorder="1"/>
    <xf numFmtId="41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41" fontId="7" fillId="0" borderId="1" xfId="0" applyNumberFormat="1" applyFont="1" applyBorder="1" applyAlignment="1">
      <alignment horizontal="center" vertical="center"/>
    </xf>
    <xf numFmtId="41" fontId="7" fillId="0" borderId="0" xfId="0" applyNumberFormat="1" applyFont="1" applyBorder="1"/>
    <xf numFmtId="169" fontId="7" fillId="0" borderId="0" xfId="0" applyNumberFormat="1" applyFont="1"/>
    <xf numFmtId="0" fontId="22" fillId="0" borderId="0" xfId="0" applyFont="1"/>
    <xf numFmtId="0" fontId="23" fillId="0" borderId="0" xfId="0" applyFont="1"/>
    <xf numFmtId="0" fontId="14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4" fontId="1" fillId="3" borderId="10" xfId="1" applyNumberFormat="1" applyFont="1" applyFill="1" applyBorder="1" applyAlignment="1">
      <alignment horizontal="center" vertical="center" wrapText="1"/>
    </xf>
    <xf numFmtId="4" fontId="1" fillId="2" borderId="9" xfId="1" applyNumberFormat="1" applyFont="1" applyFill="1" applyBorder="1" applyAlignment="1">
      <alignment horizontal="center" vertical="center" wrapText="1"/>
    </xf>
    <xf numFmtId="4" fontId="1" fillId="3" borderId="9" xfId="1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4" fontId="1" fillId="2" borderId="9" xfId="1" applyNumberFormat="1" applyFont="1" applyFill="1" applyBorder="1" applyAlignment="1">
      <alignment horizontal="center" vertical="top" wrapText="1"/>
    </xf>
    <xf numFmtId="41" fontId="1" fillId="3" borderId="10" xfId="0" applyNumberFormat="1" applyFont="1" applyFill="1" applyBorder="1" applyAlignment="1">
      <alignment horizontal="right" vertical="center" wrapText="1"/>
    </xf>
    <xf numFmtId="41" fontId="1" fillId="2" borderId="9" xfId="0" applyNumberFormat="1" applyFont="1" applyFill="1" applyBorder="1" applyAlignment="1">
      <alignment horizontal="right" vertical="center" wrapText="1"/>
    </xf>
    <xf numFmtId="41" fontId="1" fillId="3" borderId="9" xfId="0" applyNumberFormat="1" applyFont="1" applyFill="1" applyBorder="1" applyAlignment="1">
      <alignment horizontal="right" vertical="center" wrapText="1"/>
    </xf>
    <xf numFmtId="0" fontId="1" fillId="3" borderId="9" xfId="0" applyFont="1" applyFill="1" applyBorder="1" applyAlignment="1">
      <alignment horizontal="right" vertical="center" wrapText="1"/>
    </xf>
    <xf numFmtId="2" fontId="1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41" fontId="7" fillId="0" borderId="1" xfId="0" applyNumberFormat="1" applyFont="1" applyBorder="1" applyAlignment="1">
      <alignment vertical="center"/>
    </xf>
    <xf numFmtId="41" fontId="2" fillId="2" borderId="1" xfId="2" applyFont="1" applyFill="1" applyBorder="1" applyAlignment="1">
      <alignment vertical="top" wrapText="1"/>
    </xf>
    <xf numFmtId="169" fontId="7" fillId="0" borderId="0" xfId="0" applyNumberFormat="1" applyFont="1" applyAlignment="1">
      <alignment horizontal="left"/>
    </xf>
    <xf numFmtId="0" fontId="26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 readingOrder="1"/>
    </xf>
    <xf numFmtId="0" fontId="11" fillId="4" borderId="3" xfId="0" applyFont="1" applyFill="1" applyBorder="1" applyAlignment="1">
      <alignment horizontal="center" vertical="center" wrapText="1" readingOrder="1"/>
    </xf>
    <xf numFmtId="0" fontId="11" fillId="4" borderId="4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0" fontId="11" fillId="4" borderId="5" xfId="0" applyFont="1" applyFill="1" applyBorder="1" applyAlignment="1">
      <alignment horizontal="center" vertical="center" wrapText="1" readingOrder="1"/>
    </xf>
    <xf numFmtId="0" fontId="11" fillId="4" borderId="6" xfId="0" applyFont="1" applyFill="1" applyBorder="1" applyAlignment="1">
      <alignment horizontal="center" vertical="center" wrapText="1" readingOrder="1"/>
    </xf>
    <xf numFmtId="0" fontId="11" fillId="4" borderId="7" xfId="0" applyFont="1" applyFill="1" applyBorder="1" applyAlignment="1">
      <alignment horizontal="center" vertical="center" wrapText="1" readingOrder="1"/>
    </xf>
    <xf numFmtId="0" fontId="11" fillId="4" borderId="8" xfId="0" applyFont="1" applyFill="1" applyBorder="1" applyAlignment="1">
      <alignment horizontal="center" vertical="center" wrapText="1" readingOrder="1"/>
    </xf>
    <xf numFmtId="0" fontId="19" fillId="0" borderId="13" xfId="0" applyFont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top" wrapText="1"/>
    </xf>
    <xf numFmtId="0" fontId="2" fillId="2" borderId="15" xfId="0" applyFont="1" applyFill="1" applyBorder="1" applyAlignment="1">
      <alignment horizontal="right" vertical="top" wrapText="1"/>
    </xf>
    <xf numFmtId="0" fontId="9" fillId="0" borderId="16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43" fontId="20" fillId="7" borderId="3" xfId="0" applyNumberFormat="1" applyFont="1" applyFill="1" applyBorder="1" applyAlignment="1">
      <alignment horizontal="center" vertical="center"/>
    </xf>
    <xf numFmtId="43" fontId="20" fillId="7" borderId="4" xfId="0" applyNumberFormat="1" applyFont="1" applyFill="1" applyBorder="1" applyAlignment="1">
      <alignment horizontal="center" vertical="center"/>
    </xf>
    <xf numFmtId="43" fontId="20" fillId="7" borderId="2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14</xdr:row>
      <xdr:rowOff>47625</xdr:rowOff>
    </xdr:from>
    <xdr:ext cx="5446812" cy="436786"/>
    <xdr:sp macro="" textlink="">
      <xdr:nvSpPr>
        <xdr:cNvPr id="2" name="TextBox 1">
          <a:extLst>
            <a:ext uri="{FF2B5EF4-FFF2-40B4-BE49-F238E27FC236}"/>
          </a:extLst>
        </xdr:cNvPr>
        <xdr:cNvSpPr txBox="1"/>
      </xdr:nvSpPr>
      <xdr:spPr>
        <a:xfrm>
          <a:off x="952500" y="2724150"/>
          <a:ext cx="544681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IPP Biro Perencanaan diperoleh 88,17. Hal ini disebabkan adanya 5 pejabat struktural  </a:t>
          </a:r>
          <a:endParaRPr lang="id-ID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pengawai Biro Perencanaan yang belum Diklat PIM dan 1 jabatan struktural yang kosong</a:t>
          </a:r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51"/>
  <sheetViews>
    <sheetView tabSelected="1" topLeftCell="A10" workbookViewId="0">
      <selection activeCell="D49" sqref="D49"/>
    </sheetView>
  </sheetViews>
  <sheetFormatPr defaultRowHeight="15" x14ac:dyDescent="0.25"/>
  <cols>
    <col min="2" max="2" width="18.85546875" customWidth="1"/>
    <col min="3" max="3" width="2.85546875" customWidth="1"/>
    <col min="4" max="4" width="17.7109375" customWidth="1"/>
    <col min="5" max="5" width="16" customWidth="1"/>
    <col min="6" max="6" width="13.5703125" customWidth="1"/>
    <col min="13" max="13" width="8.42578125" customWidth="1"/>
    <col min="14" max="14" width="47.85546875" customWidth="1"/>
    <col min="15" max="15" width="15.42578125" customWidth="1"/>
    <col min="16" max="16" width="24.140625" customWidth="1"/>
  </cols>
  <sheetData>
    <row r="1" spans="1:15" s="49" customFormat="1" ht="32.25" customHeight="1" x14ac:dyDescent="0.25">
      <c r="A1" s="120" t="s">
        <v>66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15" s="49" customFormat="1" ht="15.75" x14ac:dyDescent="0.25">
      <c r="B2" s="4"/>
      <c r="C2" s="4"/>
      <c r="D2" s="4"/>
      <c r="E2" s="4"/>
      <c r="F2" s="4"/>
      <c r="G2" s="4"/>
      <c r="H2" s="4"/>
    </row>
    <row r="3" spans="1:15" s="49" customFormat="1" ht="15.75" x14ac:dyDescent="0.25">
      <c r="B3" s="4" t="s">
        <v>67</v>
      </c>
      <c r="C3" s="4"/>
      <c r="D3" s="4"/>
      <c r="E3" s="4"/>
      <c r="F3" s="4"/>
      <c r="G3" s="4"/>
      <c r="H3" s="4"/>
      <c r="M3" s="69" t="s">
        <v>68</v>
      </c>
      <c r="N3" s="69"/>
      <c r="O3" s="4"/>
    </row>
    <row r="4" spans="1:15" s="49" customFormat="1" ht="30.75" customHeight="1" x14ac:dyDescent="0.3">
      <c r="B4" s="70" t="s">
        <v>69</v>
      </c>
      <c r="C4" s="4"/>
      <c r="D4" s="4"/>
      <c r="E4" s="4"/>
      <c r="F4" s="4"/>
      <c r="G4" s="4"/>
      <c r="H4" s="4"/>
      <c r="M4" s="71" t="s">
        <v>10</v>
      </c>
      <c r="N4" s="71" t="s">
        <v>70</v>
      </c>
      <c r="O4" s="72" t="s">
        <v>71</v>
      </c>
    </row>
    <row r="5" spans="1:15" s="49" customFormat="1" ht="24" customHeight="1" x14ac:dyDescent="0.25">
      <c r="B5" s="4"/>
      <c r="C5" s="4"/>
      <c r="D5" s="4"/>
      <c r="E5" s="4"/>
      <c r="F5" s="4"/>
      <c r="G5" s="4"/>
      <c r="H5" s="4"/>
      <c r="M5" s="73">
        <v>1</v>
      </c>
      <c r="N5" s="74"/>
      <c r="O5" s="75">
        <v>89</v>
      </c>
    </row>
    <row r="6" spans="1:15" s="49" customFormat="1" ht="24" customHeight="1" x14ac:dyDescent="0.25">
      <c r="B6" s="4" t="s">
        <v>72</v>
      </c>
      <c r="C6" s="4" t="s">
        <v>73</v>
      </c>
      <c r="D6" s="4" t="s">
        <v>74</v>
      </c>
      <c r="E6" s="4"/>
      <c r="F6" s="4"/>
      <c r="G6" s="4"/>
      <c r="H6" s="4"/>
      <c r="M6" s="73">
        <v>2</v>
      </c>
      <c r="N6" s="76"/>
      <c r="O6" s="75">
        <v>84</v>
      </c>
    </row>
    <row r="7" spans="1:15" s="49" customFormat="1" ht="24" customHeight="1" x14ac:dyDescent="0.25">
      <c r="B7" s="4" t="s">
        <v>75</v>
      </c>
      <c r="C7" s="4" t="s">
        <v>73</v>
      </c>
      <c r="D7" s="87" t="s">
        <v>113</v>
      </c>
      <c r="E7" s="4"/>
      <c r="F7" s="4"/>
      <c r="G7" s="4"/>
      <c r="H7" s="4"/>
      <c r="M7" s="73">
        <v>3</v>
      </c>
      <c r="N7" s="76"/>
      <c r="O7" s="75">
        <v>86</v>
      </c>
    </row>
    <row r="8" spans="1:15" s="49" customFormat="1" ht="23.25" customHeight="1" x14ac:dyDescent="0.25">
      <c r="B8" s="4" t="s">
        <v>76</v>
      </c>
      <c r="C8" s="4" t="s">
        <v>73</v>
      </c>
      <c r="D8" s="77">
        <v>42422</v>
      </c>
      <c r="E8" s="4"/>
      <c r="F8" s="4"/>
      <c r="G8" s="4"/>
      <c r="H8" s="4"/>
      <c r="M8" s="73">
        <v>4</v>
      </c>
      <c r="N8" s="76"/>
      <c r="O8" s="75">
        <v>90</v>
      </c>
    </row>
    <row r="9" spans="1:15" s="49" customFormat="1" ht="24" customHeight="1" x14ac:dyDescent="0.25">
      <c r="B9" s="4"/>
      <c r="C9" s="4"/>
      <c r="D9" s="4"/>
      <c r="E9" s="4"/>
      <c r="F9" s="4"/>
      <c r="G9" s="4"/>
      <c r="H9" s="4"/>
      <c r="M9" s="73">
        <v>5</v>
      </c>
      <c r="N9" s="76"/>
      <c r="O9" s="75">
        <v>80</v>
      </c>
    </row>
    <row r="10" spans="1:15" s="49" customFormat="1" ht="24" customHeight="1" x14ac:dyDescent="0.25">
      <c r="B10" s="4" t="s">
        <v>77</v>
      </c>
      <c r="C10" s="4" t="s">
        <v>73</v>
      </c>
      <c r="D10" s="4"/>
      <c r="E10" s="4"/>
      <c r="F10" s="78"/>
      <c r="G10" s="78"/>
      <c r="H10" s="4"/>
      <c r="M10" s="73">
        <v>6</v>
      </c>
      <c r="N10" s="76"/>
      <c r="O10" s="75">
        <v>75</v>
      </c>
    </row>
    <row r="11" spans="1:15" s="49" customFormat="1" ht="24" customHeight="1" x14ac:dyDescent="0.25">
      <c r="B11" s="78" t="s">
        <v>78</v>
      </c>
      <c r="C11" s="78" t="s">
        <v>73</v>
      </c>
      <c r="D11" s="78">
        <v>2</v>
      </c>
      <c r="E11" s="4"/>
      <c r="F11" s="78"/>
      <c r="G11" s="78"/>
      <c r="H11" s="4"/>
      <c r="M11" s="73">
        <v>7</v>
      </c>
      <c r="N11" s="76"/>
      <c r="O11" s="75">
        <v>80</v>
      </c>
    </row>
    <row r="12" spans="1:15" s="49" customFormat="1" ht="24" customHeight="1" x14ac:dyDescent="0.25">
      <c r="B12" s="78" t="s">
        <v>79</v>
      </c>
      <c r="C12" s="78" t="s">
        <v>73</v>
      </c>
      <c r="D12" s="78">
        <v>8</v>
      </c>
      <c r="E12" s="4"/>
      <c r="F12" s="78"/>
      <c r="G12" s="78"/>
      <c r="H12" s="4"/>
      <c r="M12" s="73">
        <v>8</v>
      </c>
      <c r="N12" s="76"/>
      <c r="O12" s="75">
        <v>79</v>
      </c>
    </row>
    <row r="13" spans="1:15" s="49" customFormat="1" ht="24" customHeight="1" x14ac:dyDescent="0.25">
      <c r="B13" s="90" t="s">
        <v>80</v>
      </c>
      <c r="C13" s="78" t="s">
        <v>73</v>
      </c>
      <c r="D13" s="78">
        <f>SUM(D11:D12)</f>
        <v>10</v>
      </c>
      <c r="E13" s="4"/>
      <c r="F13" s="78"/>
      <c r="G13" s="78"/>
      <c r="H13" s="4"/>
      <c r="M13" s="73">
        <v>9</v>
      </c>
      <c r="N13" s="76"/>
      <c r="O13" s="75">
        <v>80</v>
      </c>
    </row>
    <row r="14" spans="1:15" s="49" customFormat="1" ht="24" customHeight="1" x14ac:dyDescent="0.25">
      <c r="B14" s="4"/>
      <c r="C14" s="4"/>
      <c r="D14" s="4"/>
      <c r="E14" s="4"/>
      <c r="F14" s="4"/>
      <c r="G14" s="4"/>
      <c r="H14" s="4"/>
      <c r="M14" s="73">
        <v>10</v>
      </c>
      <c r="N14" s="76"/>
      <c r="O14" s="75">
        <v>80</v>
      </c>
    </row>
    <row r="15" spans="1:15" s="49" customFormat="1" ht="24" customHeight="1" x14ac:dyDescent="0.25">
      <c r="B15" s="4" t="s">
        <v>81</v>
      </c>
      <c r="C15" s="4"/>
      <c r="D15" s="4"/>
      <c r="E15" s="4"/>
      <c r="F15" s="4"/>
      <c r="G15" s="4"/>
      <c r="H15" s="4"/>
      <c r="M15" s="73"/>
      <c r="N15" s="76"/>
      <c r="O15" s="75"/>
    </row>
    <row r="16" spans="1:15" s="49" customFormat="1" ht="24" customHeight="1" x14ac:dyDescent="0.25">
      <c r="B16" s="4"/>
      <c r="C16" s="4"/>
      <c r="D16" s="4"/>
      <c r="E16" s="4"/>
      <c r="F16" s="4"/>
      <c r="G16" s="4"/>
      <c r="H16" s="4"/>
      <c r="M16" s="73"/>
      <c r="N16" s="76"/>
      <c r="O16" s="75"/>
    </row>
    <row r="17" spans="1:18" s="103" customFormat="1" ht="24" customHeight="1" x14ac:dyDescent="0.25">
      <c r="B17" s="121" t="s">
        <v>82</v>
      </c>
      <c r="C17" s="122"/>
      <c r="D17" s="89" t="s">
        <v>83</v>
      </c>
      <c r="E17" s="89" t="s">
        <v>84</v>
      </c>
      <c r="F17" s="107"/>
      <c r="G17" s="107"/>
      <c r="H17" s="107"/>
      <c r="M17" s="73"/>
      <c r="N17" s="76"/>
      <c r="O17" s="75"/>
    </row>
    <row r="18" spans="1:18" s="103" customFormat="1" ht="24" customHeight="1" x14ac:dyDescent="0.25">
      <c r="B18" s="114" t="s">
        <v>78</v>
      </c>
      <c r="C18" s="115"/>
      <c r="D18" s="108">
        <v>3500000</v>
      </c>
      <c r="E18" s="108">
        <v>3500000</v>
      </c>
      <c r="F18" s="107"/>
      <c r="G18" s="107"/>
      <c r="H18" s="107"/>
      <c r="M18" s="73"/>
      <c r="N18" s="76"/>
      <c r="O18" s="75"/>
    </row>
    <row r="19" spans="1:18" s="103" customFormat="1" ht="24" customHeight="1" x14ac:dyDescent="0.25">
      <c r="B19" s="114" t="s">
        <v>79</v>
      </c>
      <c r="C19" s="115"/>
      <c r="D19" s="108">
        <v>1500000</v>
      </c>
      <c r="E19" s="108">
        <v>1250000</v>
      </c>
      <c r="F19" s="107"/>
      <c r="G19" s="107"/>
      <c r="H19" s="107"/>
      <c r="M19" s="116" t="s">
        <v>41</v>
      </c>
      <c r="N19" s="116"/>
      <c r="O19" s="75">
        <f>SUM(O5:O18)</f>
        <v>823</v>
      </c>
    </row>
    <row r="20" spans="1:18" s="49" customFormat="1" ht="24" customHeight="1" x14ac:dyDescent="0.25">
      <c r="B20" s="4"/>
      <c r="C20" s="4"/>
      <c r="D20" s="4"/>
      <c r="E20" s="4"/>
      <c r="F20" s="4"/>
      <c r="G20" s="4"/>
      <c r="H20" s="4"/>
      <c r="M20" s="117" t="s">
        <v>54</v>
      </c>
      <c r="N20" s="117"/>
      <c r="O20" s="75">
        <f>O19/D13</f>
        <v>82.3</v>
      </c>
    </row>
    <row r="21" spans="1:18" s="49" customFormat="1" ht="15.75" x14ac:dyDescent="0.25">
      <c r="B21" s="4" t="s">
        <v>85</v>
      </c>
      <c r="C21" s="4"/>
      <c r="D21" s="4"/>
      <c r="E21" s="4"/>
      <c r="F21" s="4"/>
      <c r="G21" s="4"/>
      <c r="H21" s="4"/>
    </row>
    <row r="22" spans="1:18" s="49" customFormat="1" ht="24" customHeight="1" x14ac:dyDescent="0.25">
      <c r="B22" s="118" t="s">
        <v>82</v>
      </c>
      <c r="C22" s="118"/>
      <c r="D22" s="80" t="s">
        <v>86</v>
      </c>
      <c r="E22" s="80" t="s">
        <v>87</v>
      </c>
      <c r="F22" s="80" t="s">
        <v>88</v>
      </c>
      <c r="G22" s="4"/>
      <c r="H22" s="4"/>
      <c r="M22" s="81" t="s">
        <v>89</v>
      </c>
      <c r="N22" s="81"/>
      <c r="O22" s="82"/>
    </row>
    <row r="23" spans="1:18" s="49" customFormat="1" ht="18" customHeight="1" x14ac:dyDescent="0.25">
      <c r="B23" s="114" t="s">
        <v>78</v>
      </c>
      <c r="C23" s="115"/>
      <c r="D23" s="83">
        <v>0</v>
      </c>
      <c r="E23" s="83">
        <v>0</v>
      </c>
      <c r="F23" s="83">
        <v>1</v>
      </c>
      <c r="G23" s="4"/>
      <c r="H23" s="4"/>
      <c r="M23" s="119" t="s">
        <v>90</v>
      </c>
      <c r="N23" s="119"/>
      <c r="O23" s="119"/>
    </row>
    <row r="24" spans="1:18" s="49" customFormat="1" ht="18" customHeight="1" x14ac:dyDescent="0.25">
      <c r="B24" s="112" t="s">
        <v>79</v>
      </c>
      <c r="C24" s="112"/>
      <c r="D24" s="83">
        <v>0</v>
      </c>
      <c r="E24" s="83">
        <v>0</v>
      </c>
      <c r="F24" s="83">
        <v>1</v>
      </c>
      <c r="G24" s="4"/>
      <c r="H24" s="4"/>
      <c r="M24" s="119"/>
      <c r="N24" s="119"/>
      <c r="O24" s="119"/>
    </row>
    <row r="25" spans="1:18" s="49" customFormat="1" ht="27" customHeight="1" x14ac:dyDescent="0.25">
      <c r="B25" s="113" t="s">
        <v>91</v>
      </c>
      <c r="C25" s="113"/>
      <c r="D25" s="79">
        <f>SUM(D23:D24)</f>
        <v>0</v>
      </c>
      <c r="E25" s="79">
        <f>SUM(E23:E24)</f>
        <v>0</v>
      </c>
      <c r="F25" s="79">
        <f>SUM(F23:F24)</f>
        <v>2</v>
      </c>
      <c r="G25" s="4"/>
      <c r="H25" s="4"/>
    </row>
    <row r="26" spans="1:18" s="49" customFormat="1" ht="15.75" x14ac:dyDescent="0.25">
      <c r="B26" s="69"/>
      <c r="C26" s="69"/>
      <c r="D26" s="84"/>
      <c r="E26" s="84"/>
      <c r="F26" s="4"/>
      <c r="G26" s="4"/>
      <c r="H26" s="4"/>
      <c r="O26" s="111" t="str">
        <f ca="1">D48&amp; ",  "&amp;TEXT(D49,"dd mmmm yyyy")</f>
        <v>Sungailiat,  27 Februari 2017</v>
      </c>
    </row>
    <row r="27" spans="1:18" s="49" customFormat="1" ht="15.75" x14ac:dyDescent="0.25">
      <c r="A27" s="4" t="s">
        <v>98</v>
      </c>
      <c r="B27" s="4"/>
      <c r="Q27" s="4"/>
      <c r="R27" s="4"/>
    </row>
    <row r="28" spans="1:18" s="49" customFormat="1" ht="15.75" x14ac:dyDescent="0.25">
      <c r="A28" s="4" t="s">
        <v>99</v>
      </c>
      <c r="G28" s="4"/>
      <c r="H28" s="4"/>
      <c r="M28" s="4"/>
      <c r="N28" s="4"/>
      <c r="O28" s="87" t="s">
        <v>95</v>
      </c>
      <c r="P28" s="85"/>
      <c r="Q28" s="4"/>
      <c r="R28" s="4"/>
    </row>
    <row r="29" spans="1:18" s="49" customFormat="1" ht="15.75" x14ac:dyDescent="0.25">
      <c r="A29" s="4" t="s">
        <v>114</v>
      </c>
      <c r="G29" s="4"/>
      <c r="H29" s="4"/>
      <c r="M29" s="4"/>
      <c r="N29" s="4"/>
      <c r="O29" s="87"/>
      <c r="P29" s="85"/>
      <c r="Q29" s="4"/>
      <c r="R29" s="4"/>
    </row>
    <row r="30" spans="1:18" s="49" customFormat="1" ht="15.75" x14ac:dyDescent="0.25">
      <c r="A30" s="4" t="s">
        <v>115</v>
      </c>
      <c r="G30" s="4"/>
      <c r="H30" s="4"/>
      <c r="M30" s="4"/>
      <c r="N30" s="4"/>
      <c r="O30" s="87"/>
      <c r="P30" s="85"/>
      <c r="Q30" s="4"/>
      <c r="R30" s="4"/>
    </row>
    <row r="31" spans="1:18" s="49" customFormat="1" ht="15.75" x14ac:dyDescent="0.25">
      <c r="A31" s="4" t="s">
        <v>100</v>
      </c>
      <c r="C31" s="4"/>
      <c r="D31" s="4"/>
      <c r="E31" s="4"/>
      <c r="F31" s="4"/>
      <c r="G31" s="4"/>
      <c r="H31" s="4"/>
      <c r="M31" s="4"/>
      <c r="N31" s="4"/>
      <c r="O31" s="87"/>
      <c r="P31" s="4"/>
      <c r="Q31" s="4"/>
    </row>
    <row r="32" spans="1:18" s="49" customFormat="1" ht="15.75" x14ac:dyDescent="0.25">
      <c r="A32" s="4" t="s">
        <v>101</v>
      </c>
      <c r="C32" s="4"/>
      <c r="D32" s="4"/>
      <c r="E32" s="4"/>
      <c r="F32" s="4"/>
      <c r="G32" s="4"/>
      <c r="H32" s="4"/>
      <c r="M32" s="4"/>
      <c r="N32" s="4"/>
      <c r="O32" s="87" t="s">
        <v>96</v>
      </c>
      <c r="P32" s="4"/>
      <c r="Q32" s="4"/>
    </row>
    <row r="33" spans="1:18" s="49" customFormat="1" ht="15.75" x14ac:dyDescent="0.25">
      <c r="A33" s="4" t="s">
        <v>102</v>
      </c>
      <c r="G33" s="4"/>
      <c r="H33" s="4"/>
      <c r="N33" s="4"/>
      <c r="O33" s="87" t="s">
        <v>97</v>
      </c>
      <c r="P33" s="4"/>
      <c r="Q33" s="4"/>
    </row>
    <row r="34" spans="1:18" s="49" customFormat="1" ht="15.75" x14ac:dyDescent="0.25">
      <c r="A34" s="4" t="s">
        <v>103</v>
      </c>
      <c r="G34" s="4"/>
      <c r="H34" s="4"/>
      <c r="O34" s="4"/>
      <c r="P34" s="4"/>
      <c r="Q34" s="4"/>
    </row>
    <row r="35" spans="1:18" s="49" customFormat="1" ht="15.75" x14ac:dyDescent="0.25">
      <c r="A35" s="4" t="s">
        <v>104</v>
      </c>
      <c r="G35" s="4"/>
      <c r="H35" s="4"/>
      <c r="O35" s="4"/>
      <c r="P35" s="4"/>
      <c r="Q35" s="4"/>
    </row>
    <row r="36" spans="1:18" s="49" customFormat="1" ht="15.75" x14ac:dyDescent="0.25">
      <c r="A36" s="4" t="s">
        <v>105</v>
      </c>
      <c r="B36" s="4"/>
      <c r="G36" s="4"/>
      <c r="H36" s="4"/>
      <c r="O36" s="4"/>
      <c r="P36" s="4"/>
      <c r="Q36" s="4"/>
    </row>
    <row r="37" spans="1:18" s="49" customFormat="1" ht="15.75" x14ac:dyDescent="0.25">
      <c r="A37" s="4" t="s">
        <v>106</v>
      </c>
      <c r="B37" s="4"/>
      <c r="G37" s="4"/>
      <c r="H37" s="4"/>
      <c r="O37" s="4"/>
      <c r="P37" s="4"/>
      <c r="Q37" s="4"/>
    </row>
    <row r="38" spans="1:18" s="49" customFormat="1" ht="15.75" x14ac:dyDescent="0.25">
      <c r="A38" s="4" t="s">
        <v>107</v>
      </c>
      <c r="B38" s="4"/>
      <c r="G38" s="4"/>
      <c r="H38" s="4"/>
      <c r="O38" s="4"/>
      <c r="P38" s="4"/>
      <c r="Q38" s="4"/>
    </row>
    <row r="39" spans="1:18" s="49" customFormat="1" ht="15.75" x14ac:dyDescent="0.25">
      <c r="A39" s="4" t="s">
        <v>108</v>
      </c>
      <c r="B39" s="4"/>
      <c r="C39" s="4"/>
      <c r="D39" s="4"/>
      <c r="E39" s="4"/>
      <c r="F39" s="4"/>
      <c r="G39" s="4"/>
      <c r="H39" s="4"/>
    </row>
    <row r="40" spans="1:18" s="49" customFormat="1" ht="15.75" x14ac:dyDescent="0.25">
      <c r="A40" s="4" t="s">
        <v>109</v>
      </c>
      <c r="C40" s="4"/>
      <c r="D40" s="4"/>
      <c r="E40" s="4"/>
      <c r="F40" s="4"/>
      <c r="G40" s="4"/>
      <c r="H40" s="4"/>
      <c r="N40" s="4"/>
    </row>
    <row r="41" spans="1:18" s="49" customFormat="1" ht="15.75" x14ac:dyDescent="0.25">
      <c r="A41" s="4" t="s">
        <v>110</v>
      </c>
      <c r="B41" s="4"/>
      <c r="C41" s="4"/>
      <c r="D41" s="4"/>
      <c r="E41" s="4"/>
      <c r="F41" s="4"/>
      <c r="G41" s="4"/>
      <c r="H41" s="4"/>
      <c r="N41" s="4"/>
    </row>
    <row r="42" spans="1:18" s="49" customFormat="1" ht="15.75" x14ac:dyDescent="0.25">
      <c r="A42" s="4" t="s">
        <v>111</v>
      </c>
      <c r="B42" s="4"/>
      <c r="C42" s="4"/>
      <c r="D42" s="4"/>
      <c r="E42" s="4"/>
      <c r="F42" s="4"/>
      <c r="G42" s="4"/>
      <c r="H42" s="4"/>
      <c r="N42" s="4"/>
    </row>
    <row r="43" spans="1:18" s="49" customFormat="1" ht="21" x14ac:dyDescent="0.35">
      <c r="A43" s="86" t="s">
        <v>112</v>
      </c>
      <c r="B43" s="4"/>
      <c r="C43" s="4"/>
      <c r="D43" s="4"/>
      <c r="E43" s="4"/>
      <c r="F43" s="4"/>
      <c r="G43" s="4"/>
      <c r="H43" s="4"/>
      <c r="N43" s="4"/>
    </row>
    <row r="45" spans="1:18" ht="15.75" x14ac:dyDescent="0.25">
      <c r="A45" s="49"/>
      <c r="B45" s="4" t="str">
        <f>CONCATENATE(B7,"  : ", TEXT(D7,".............................................."))</f>
        <v xml:space="preserve">UNIT KERJA  : diisi nama Unit Kerja </v>
      </c>
      <c r="C45" s="4"/>
      <c r="D45" s="4"/>
      <c r="E45" s="4"/>
      <c r="F45" s="4"/>
      <c r="G45" s="4"/>
      <c r="H45" s="4"/>
      <c r="I45" s="49"/>
      <c r="J45" s="49"/>
      <c r="K45" s="49"/>
      <c r="L45" s="49"/>
      <c r="O45" s="4"/>
      <c r="Q45" s="49"/>
      <c r="R45" s="49"/>
    </row>
    <row r="46" spans="1:18" ht="15.75" x14ac:dyDescent="0.25">
      <c r="A46" s="49"/>
      <c r="B46" s="4" t="str">
        <f>CONCATENATE(B8," ", TEXT(D8,"YYYY"))</f>
        <v>TAHUN 2016</v>
      </c>
      <c r="C46" s="4"/>
      <c r="D46" s="4"/>
      <c r="E46" s="4"/>
      <c r="F46" s="4"/>
      <c r="G46" s="4"/>
      <c r="H46" s="4"/>
      <c r="I46" s="49"/>
      <c r="J46" s="49"/>
      <c r="K46" s="49"/>
      <c r="L46" s="49"/>
      <c r="Q46" s="49"/>
      <c r="R46" s="49"/>
    </row>
    <row r="47" spans="1:18" ht="15.75" x14ac:dyDescent="0.25">
      <c r="A47" s="49"/>
      <c r="B47" s="49"/>
      <c r="C47" s="4"/>
      <c r="D47" s="4"/>
      <c r="E47" s="4"/>
      <c r="F47" s="4"/>
      <c r="G47" s="4"/>
      <c r="H47" s="4"/>
      <c r="I47" s="49"/>
      <c r="J47" s="49"/>
      <c r="K47" s="49"/>
      <c r="L47" s="49"/>
      <c r="N47" s="49"/>
      <c r="O47" s="49"/>
      <c r="P47" s="49"/>
      <c r="Q47" s="49"/>
      <c r="R47" s="49"/>
    </row>
    <row r="48" spans="1:18" ht="15.75" x14ac:dyDescent="0.25">
      <c r="A48" s="49"/>
      <c r="B48" s="4" t="s">
        <v>92</v>
      </c>
      <c r="C48" s="4"/>
      <c r="D48" s="87" t="s">
        <v>93</v>
      </c>
      <c r="E48" s="4"/>
      <c r="F48" s="4"/>
      <c r="G48" s="4"/>
      <c r="H48" s="4"/>
      <c r="I48" s="49"/>
      <c r="J48" s="49"/>
      <c r="K48" s="49"/>
      <c r="L48" s="49"/>
      <c r="N48" s="49"/>
      <c r="O48" s="49"/>
      <c r="P48" s="49"/>
      <c r="Q48" s="49"/>
      <c r="R48" s="49"/>
    </row>
    <row r="49" spans="2:4" ht="15.75" x14ac:dyDescent="0.25">
      <c r="B49" s="4" t="s">
        <v>94</v>
      </c>
      <c r="D49" s="110">
        <f ca="1">TODAY()</f>
        <v>42793</v>
      </c>
    </row>
    <row r="50" spans="2:4" x14ac:dyDescent="0.25">
      <c r="B50" s="49"/>
    </row>
    <row r="51" spans="2:4" ht="15.75" x14ac:dyDescent="0.25">
      <c r="B51" s="4"/>
    </row>
  </sheetData>
  <mergeCells count="11">
    <mergeCell ref="A1:O1"/>
    <mergeCell ref="B17:C17"/>
    <mergeCell ref="B18:C18"/>
    <mergeCell ref="B24:C24"/>
    <mergeCell ref="B25:C25"/>
    <mergeCell ref="B19:C19"/>
    <mergeCell ref="M19:N19"/>
    <mergeCell ref="M20:N20"/>
    <mergeCell ref="B22:C22"/>
    <mergeCell ref="B23:C23"/>
    <mergeCell ref="M23:O24"/>
  </mergeCells>
  <pageMargins left="0.7" right="0.7" top="0.75" bottom="0.75" header="0.3" footer="0.3"/>
  <pageSetup paperSize="256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7"/>
  <sheetViews>
    <sheetView view="pageBreakPreview" topLeftCell="B1" zoomScale="70" zoomScaleNormal="55" zoomScaleSheetLayoutView="70" workbookViewId="0">
      <pane ySplit="6" topLeftCell="A16" activePane="bottomLeft" state="frozen"/>
      <selection pane="bottomLeft" activeCell="I36" sqref="I36"/>
    </sheetView>
  </sheetViews>
  <sheetFormatPr defaultRowHeight="15" x14ac:dyDescent="0.25"/>
  <cols>
    <col min="1" max="1" width="5.28515625" style="1" bestFit="1" customWidth="1"/>
    <col min="2" max="2" width="28.28515625" customWidth="1"/>
    <col min="3" max="3" width="5.5703125" style="49" customWidth="1"/>
    <col min="4" max="4" width="25.85546875" customWidth="1"/>
    <col min="5" max="5" width="22.85546875" bestFit="1" customWidth="1"/>
    <col min="6" max="6" width="28.42578125" bestFit="1" customWidth="1"/>
    <col min="7" max="7" width="4.5703125" customWidth="1"/>
    <col min="8" max="8" width="22.5703125" customWidth="1"/>
    <col min="9" max="9" width="7.28515625" bestFit="1" customWidth="1"/>
    <col min="10" max="10" width="5" customWidth="1"/>
    <col min="11" max="11" width="20.85546875" customWidth="1"/>
    <col min="12" max="12" width="7.28515625" style="14" bestFit="1" customWidth="1"/>
    <col min="13" max="13" width="6.5703125" style="14" customWidth="1"/>
    <col min="14" max="14" width="20.85546875" customWidth="1"/>
    <col min="15" max="15" width="7.28515625" style="14" bestFit="1" customWidth="1"/>
    <col min="16" max="16" width="6.5703125" customWidth="1"/>
    <col min="17" max="17" width="20.85546875" customWidth="1"/>
    <col min="18" max="18" width="7.28515625" style="14" bestFit="1" customWidth="1"/>
    <col min="19" max="19" width="15.28515625" customWidth="1"/>
  </cols>
  <sheetData>
    <row r="1" spans="1:19" x14ac:dyDescent="0.25">
      <c r="A1" s="13"/>
    </row>
    <row r="2" spans="1:19" ht="39.75" customHeight="1" x14ac:dyDescent="0.4">
      <c r="A2" s="123" t="s">
        <v>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spans="1:19" ht="39.75" customHeight="1" x14ac:dyDescent="0.5">
      <c r="A3" s="34" t="str">
        <f>'Data Unit kerja'!B45</f>
        <v xml:space="preserve">UNIT KERJA  : diisi nama Unit Kerja 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45"/>
      <c r="M3" s="29"/>
      <c r="N3" s="29"/>
      <c r="O3" s="45"/>
      <c r="P3" s="29"/>
      <c r="Q3" s="29"/>
      <c r="R3" s="45"/>
      <c r="S3" s="29"/>
    </row>
    <row r="4" spans="1:19" s="49" customFormat="1" ht="18" customHeight="1" x14ac:dyDescent="0.5">
      <c r="A4" s="34"/>
      <c r="B4" s="29"/>
      <c r="C4" s="29"/>
      <c r="D4" s="29"/>
      <c r="E4" s="29"/>
      <c r="F4" s="29"/>
      <c r="G4" s="29"/>
      <c r="H4" s="29"/>
      <c r="I4" s="29"/>
      <c r="J4" s="29"/>
      <c r="K4" s="29"/>
      <c r="L4" s="45"/>
      <c r="M4" s="29"/>
      <c r="N4" s="29"/>
      <c r="O4" s="45"/>
      <c r="P4" s="29"/>
      <c r="Q4" s="29"/>
      <c r="R4" s="45"/>
      <c r="S4" s="29"/>
    </row>
    <row r="5" spans="1:19" ht="37.5" customHeight="1" x14ac:dyDescent="0.25">
      <c r="A5" s="124" t="s">
        <v>0</v>
      </c>
      <c r="B5" s="125" t="s">
        <v>1</v>
      </c>
      <c r="C5" s="129" t="s">
        <v>18</v>
      </c>
      <c r="D5" s="130"/>
      <c r="E5" s="125" t="s">
        <v>2</v>
      </c>
      <c r="F5" s="125" t="s">
        <v>24</v>
      </c>
      <c r="G5" s="126" t="s">
        <v>19</v>
      </c>
      <c r="H5" s="127"/>
      <c r="I5" s="128"/>
      <c r="J5" s="126" t="s">
        <v>20</v>
      </c>
      <c r="K5" s="127"/>
      <c r="L5" s="128"/>
      <c r="M5" s="126" t="s">
        <v>3</v>
      </c>
      <c r="N5" s="127"/>
      <c r="O5" s="128"/>
      <c r="P5" s="126" t="s">
        <v>21</v>
      </c>
      <c r="Q5" s="127"/>
      <c r="R5" s="128"/>
      <c r="S5" s="48" t="s">
        <v>25</v>
      </c>
    </row>
    <row r="6" spans="1:19" ht="18.75" x14ac:dyDescent="0.25">
      <c r="A6" s="124"/>
      <c r="B6" s="125"/>
      <c r="C6" s="131"/>
      <c r="D6" s="132"/>
      <c r="E6" s="125"/>
      <c r="F6" s="125"/>
      <c r="G6" s="126"/>
      <c r="H6" s="128"/>
      <c r="I6" s="52" t="s">
        <v>58</v>
      </c>
      <c r="J6" s="126"/>
      <c r="K6" s="128"/>
      <c r="L6" s="52" t="s">
        <v>58</v>
      </c>
      <c r="M6" s="126"/>
      <c r="N6" s="128"/>
      <c r="O6" s="52" t="s">
        <v>58</v>
      </c>
      <c r="P6" s="126"/>
      <c r="Q6" s="128"/>
      <c r="R6" s="52" t="s">
        <v>58</v>
      </c>
      <c r="S6" s="19" t="s">
        <v>4</v>
      </c>
    </row>
    <row r="7" spans="1:19" s="4" customFormat="1" ht="168" customHeight="1" thickBot="1" x14ac:dyDescent="0.3">
      <c r="A7" s="11">
        <v>1</v>
      </c>
      <c r="B7" s="10"/>
      <c r="C7" s="10"/>
      <c r="D7" s="10"/>
      <c r="E7" s="26"/>
      <c r="F7" s="17"/>
      <c r="G7" s="18"/>
      <c r="H7" s="10"/>
      <c r="I7" s="61"/>
      <c r="J7" s="11"/>
      <c r="K7" s="10"/>
      <c r="L7" s="61"/>
      <c r="M7" s="11"/>
      <c r="N7" s="10"/>
      <c r="O7" s="61"/>
      <c r="P7" s="11"/>
      <c r="Q7" s="50"/>
      <c r="R7" s="61"/>
      <c r="S7" s="53"/>
    </row>
    <row r="8" spans="1:19" s="4" customFormat="1" ht="168" customHeight="1" thickBot="1" x14ac:dyDescent="0.3">
      <c r="A8" s="11"/>
      <c r="B8" s="10"/>
      <c r="C8" s="10"/>
      <c r="D8" s="10"/>
      <c r="E8" s="26"/>
      <c r="F8" s="50"/>
      <c r="G8" s="18"/>
      <c r="H8" s="10"/>
      <c r="I8" s="61"/>
      <c r="J8" s="11"/>
      <c r="K8" s="10"/>
      <c r="L8" s="61"/>
      <c r="M8" s="11"/>
      <c r="N8" s="10"/>
      <c r="O8" s="61"/>
      <c r="P8" s="11"/>
      <c r="Q8" s="68"/>
      <c r="R8" s="61"/>
      <c r="S8" s="53"/>
    </row>
    <row r="9" spans="1:19" s="4" customFormat="1" ht="168" customHeight="1" thickBot="1" x14ac:dyDescent="0.3">
      <c r="A9" s="11"/>
      <c r="B9" s="10"/>
      <c r="C9" s="10"/>
      <c r="D9" s="10"/>
      <c r="E9" s="26"/>
      <c r="F9" s="50"/>
      <c r="G9" s="18"/>
      <c r="H9" s="10"/>
      <c r="I9" s="61"/>
      <c r="J9" s="11"/>
      <c r="K9" s="10"/>
      <c r="L9" s="61"/>
      <c r="M9" s="11"/>
      <c r="N9" s="10"/>
      <c r="O9" s="61"/>
      <c r="P9" s="11"/>
      <c r="Q9" s="68"/>
      <c r="R9" s="61"/>
      <c r="S9" s="53"/>
    </row>
    <row r="10" spans="1:19" s="4" customFormat="1" ht="168" customHeight="1" thickBot="1" x14ac:dyDescent="0.3">
      <c r="A10" s="11"/>
      <c r="B10" s="10"/>
      <c r="C10" s="10"/>
      <c r="D10" s="10"/>
      <c r="E10" s="26"/>
      <c r="F10" s="50"/>
      <c r="G10" s="18"/>
      <c r="H10" s="10"/>
      <c r="I10" s="61"/>
      <c r="J10" s="11"/>
      <c r="K10" s="10"/>
      <c r="L10" s="61"/>
      <c r="M10" s="11"/>
      <c r="N10" s="10"/>
      <c r="O10" s="61"/>
      <c r="P10" s="11"/>
      <c r="Q10" s="68"/>
      <c r="R10" s="61"/>
      <c r="S10" s="53"/>
    </row>
    <row r="11" spans="1:19" s="4" customFormat="1" ht="168" customHeight="1" thickBot="1" x14ac:dyDescent="0.3">
      <c r="A11" s="11"/>
      <c r="B11" s="10"/>
      <c r="C11" s="10"/>
      <c r="D11" s="10"/>
      <c r="E11" s="26"/>
      <c r="F11" s="50"/>
      <c r="G11" s="18"/>
      <c r="H11" s="10"/>
      <c r="I11" s="61"/>
      <c r="J11" s="11"/>
      <c r="K11" s="10"/>
      <c r="L11" s="61"/>
      <c r="M11" s="11"/>
      <c r="N11" s="10"/>
      <c r="O11" s="61"/>
      <c r="P11" s="11"/>
      <c r="Q11" s="68"/>
      <c r="R11" s="61"/>
      <c r="S11" s="53"/>
    </row>
    <row r="12" spans="1:19" s="4" customFormat="1" ht="168" customHeight="1" thickBot="1" x14ac:dyDescent="0.3">
      <c r="A12" s="11"/>
      <c r="B12" s="10"/>
      <c r="C12" s="10"/>
      <c r="D12" s="10"/>
      <c r="E12" s="26"/>
      <c r="F12" s="50"/>
      <c r="G12" s="18"/>
      <c r="H12" s="10"/>
      <c r="I12" s="61"/>
      <c r="J12" s="11"/>
      <c r="K12" s="10"/>
      <c r="L12" s="61"/>
      <c r="M12" s="11"/>
      <c r="N12" s="10"/>
      <c r="O12" s="61"/>
      <c r="P12" s="11"/>
      <c r="Q12" s="68"/>
      <c r="R12" s="61"/>
      <c r="S12" s="53"/>
    </row>
    <row r="13" spans="1:19" s="4" customFormat="1" ht="168" customHeight="1" thickBot="1" x14ac:dyDescent="0.3">
      <c r="A13" s="11"/>
      <c r="B13" s="10"/>
      <c r="C13" s="10"/>
      <c r="D13" s="10"/>
      <c r="E13" s="26"/>
      <c r="F13" s="50"/>
      <c r="G13" s="18"/>
      <c r="H13" s="10"/>
      <c r="I13" s="61"/>
      <c r="J13" s="11"/>
      <c r="K13" s="10"/>
      <c r="L13" s="61"/>
      <c r="M13" s="11"/>
      <c r="N13" s="10"/>
      <c r="O13" s="61"/>
      <c r="P13" s="11"/>
      <c r="Q13" s="68"/>
      <c r="R13" s="61"/>
      <c r="S13" s="53"/>
    </row>
    <row r="14" spans="1:19" s="4" customFormat="1" ht="168" customHeight="1" thickBot="1" x14ac:dyDescent="0.3">
      <c r="A14" s="11"/>
      <c r="B14" s="10"/>
      <c r="C14" s="10"/>
      <c r="D14" s="10"/>
      <c r="E14" s="26"/>
      <c r="F14" s="50"/>
      <c r="G14" s="18"/>
      <c r="H14" s="10"/>
      <c r="I14" s="61"/>
      <c r="J14" s="11"/>
      <c r="K14" s="10"/>
      <c r="L14" s="61"/>
      <c r="M14" s="11"/>
      <c r="N14" s="10"/>
      <c r="O14" s="61"/>
      <c r="P14" s="11"/>
      <c r="Q14" s="68"/>
      <c r="R14" s="61"/>
      <c r="S14" s="53"/>
    </row>
    <row r="15" spans="1:19" s="4" customFormat="1" ht="168" customHeight="1" thickBot="1" x14ac:dyDescent="0.3">
      <c r="A15" s="11"/>
      <c r="B15" s="10"/>
      <c r="C15" s="10"/>
      <c r="D15" s="10"/>
      <c r="E15" s="26"/>
      <c r="F15" s="50"/>
      <c r="G15" s="18"/>
      <c r="H15" s="10"/>
      <c r="I15" s="61"/>
      <c r="J15" s="11"/>
      <c r="K15" s="10"/>
      <c r="L15" s="61"/>
      <c r="M15" s="11"/>
      <c r="N15" s="10"/>
      <c r="O15" s="61"/>
      <c r="P15" s="11"/>
      <c r="Q15" s="68"/>
      <c r="R15" s="61"/>
      <c r="S15" s="53"/>
    </row>
    <row r="16" spans="1:19" s="4" customFormat="1" ht="168" customHeight="1" thickBot="1" x14ac:dyDescent="0.3">
      <c r="A16" s="11"/>
      <c r="B16" s="10"/>
      <c r="C16" s="10"/>
      <c r="D16" s="10"/>
      <c r="E16" s="26"/>
      <c r="F16" s="50"/>
      <c r="G16" s="18"/>
      <c r="H16" s="10"/>
      <c r="I16" s="61"/>
      <c r="J16" s="11"/>
      <c r="K16" s="10"/>
      <c r="L16" s="61"/>
      <c r="M16" s="11"/>
      <c r="N16" s="10"/>
      <c r="O16" s="61"/>
      <c r="P16" s="11"/>
      <c r="Q16" s="68"/>
      <c r="R16" s="61"/>
      <c r="S16" s="53"/>
    </row>
    <row r="17" spans="1:19" s="4" customFormat="1" ht="168" customHeight="1" thickBot="1" x14ac:dyDescent="0.3">
      <c r="A17" s="11"/>
      <c r="B17" s="10"/>
      <c r="C17" s="10"/>
      <c r="D17" s="10"/>
      <c r="E17" s="26"/>
      <c r="F17" s="50"/>
      <c r="G17" s="18"/>
      <c r="H17" s="10"/>
      <c r="I17" s="61"/>
      <c r="J17" s="11"/>
      <c r="K17" s="10"/>
      <c r="L17" s="61"/>
      <c r="M17" s="11"/>
      <c r="N17" s="10"/>
      <c r="O17" s="61"/>
      <c r="P17" s="11"/>
      <c r="Q17" s="68"/>
      <c r="R17" s="61"/>
      <c r="S17" s="53"/>
    </row>
    <row r="18" spans="1:19" s="4" customFormat="1" ht="168" customHeight="1" thickBot="1" x14ac:dyDescent="0.3">
      <c r="A18" s="11"/>
      <c r="B18" s="10"/>
      <c r="C18" s="10"/>
      <c r="D18" s="10"/>
      <c r="E18" s="26"/>
      <c r="F18" s="50"/>
      <c r="G18" s="18"/>
      <c r="H18" s="10"/>
      <c r="I18" s="61"/>
      <c r="J18" s="11"/>
      <c r="K18" s="10"/>
      <c r="L18" s="61"/>
      <c r="M18" s="11"/>
      <c r="N18" s="10"/>
      <c r="O18" s="61"/>
      <c r="P18" s="11"/>
      <c r="Q18" s="68"/>
      <c r="R18" s="61"/>
      <c r="S18" s="53"/>
    </row>
    <row r="19" spans="1:19" s="4" customFormat="1" ht="168" customHeight="1" thickBot="1" x14ac:dyDescent="0.3">
      <c r="A19" s="11"/>
      <c r="B19" s="10"/>
      <c r="C19" s="10"/>
      <c r="D19" s="10"/>
      <c r="E19" s="26"/>
      <c r="F19" s="50"/>
      <c r="G19" s="18"/>
      <c r="H19" s="10"/>
      <c r="I19" s="61"/>
      <c r="J19" s="11"/>
      <c r="K19" s="10"/>
      <c r="L19" s="61"/>
      <c r="M19" s="11"/>
      <c r="N19" s="10"/>
      <c r="O19" s="61"/>
      <c r="P19" s="11"/>
      <c r="Q19" s="68"/>
      <c r="R19" s="61"/>
      <c r="S19" s="53"/>
    </row>
    <row r="20" spans="1:19" s="4" customFormat="1" ht="168" customHeight="1" thickBot="1" x14ac:dyDescent="0.3">
      <c r="A20" s="11"/>
      <c r="B20" s="10"/>
      <c r="C20" s="10"/>
      <c r="D20" s="10"/>
      <c r="E20" s="26"/>
      <c r="F20" s="50"/>
      <c r="G20" s="18"/>
      <c r="H20" s="10"/>
      <c r="I20" s="61"/>
      <c r="J20" s="11"/>
      <c r="K20" s="10"/>
      <c r="L20" s="61"/>
      <c r="M20" s="11"/>
      <c r="N20" s="10"/>
      <c r="O20" s="61"/>
      <c r="P20" s="11"/>
      <c r="Q20" s="68"/>
      <c r="R20" s="61"/>
      <c r="S20" s="53"/>
    </row>
    <row r="21" spans="1:19" s="4" customFormat="1" ht="168" customHeight="1" thickBot="1" x14ac:dyDescent="0.3">
      <c r="A21" s="11"/>
      <c r="B21" s="10"/>
      <c r="C21" s="10"/>
      <c r="D21" s="10"/>
      <c r="E21" s="26"/>
      <c r="F21" s="50"/>
      <c r="G21" s="18"/>
      <c r="H21" s="10"/>
      <c r="I21" s="61"/>
      <c r="J21" s="11"/>
      <c r="K21" s="10"/>
      <c r="L21" s="61"/>
      <c r="M21" s="11"/>
      <c r="N21" s="10"/>
      <c r="O21" s="61"/>
      <c r="P21" s="11"/>
      <c r="Q21" s="68"/>
      <c r="R21" s="61"/>
      <c r="S21" s="53"/>
    </row>
    <row r="22" spans="1:19" s="4" customFormat="1" ht="168" customHeight="1" thickBot="1" x14ac:dyDescent="0.3">
      <c r="A22" s="11"/>
      <c r="B22" s="10"/>
      <c r="C22" s="10"/>
      <c r="D22" s="10"/>
      <c r="E22" s="26"/>
      <c r="F22" s="50"/>
      <c r="G22" s="18"/>
      <c r="H22" s="10"/>
      <c r="I22" s="61"/>
      <c r="J22" s="11"/>
      <c r="K22" s="10"/>
      <c r="L22" s="61"/>
      <c r="M22" s="11"/>
      <c r="N22" s="10"/>
      <c r="O22" s="61"/>
      <c r="P22" s="11"/>
      <c r="Q22" s="68"/>
      <c r="R22" s="61"/>
      <c r="S22" s="53"/>
    </row>
    <row r="23" spans="1:19" s="4" customFormat="1" ht="168" customHeight="1" thickBot="1" x14ac:dyDescent="0.3">
      <c r="A23" s="11"/>
      <c r="B23" s="10"/>
      <c r="C23" s="10"/>
      <c r="D23" s="10"/>
      <c r="E23" s="26"/>
      <c r="F23" s="50"/>
      <c r="G23" s="18"/>
      <c r="H23" s="10"/>
      <c r="I23" s="61"/>
      <c r="J23" s="11"/>
      <c r="K23" s="10"/>
      <c r="L23" s="61"/>
      <c r="M23" s="11"/>
      <c r="N23" s="10"/>
      <c r="O23" s="61"/>
      <c r="P23" s="11"/>
      <c r="Q23" s="68"/>
      <c r="R23" s="61"/>
      <c r="S23" s="53"/>
    </row>
    <row r="24" spans="1:19" s="4" customFormat="1" ht="168" customHeight="1" thickBot="1" x14ac:dyDescent="0.3">
      <c r="A24" s="11"/>
      <c r="B24" s="10"/>
      <c r="C24" s="10"/>
      <c r="D24" s="10"/>
      <c r="E24" s="26"/>
      <c r="F24" s="50"/>
      <c r="G24" s="18"/>
      <c r="H24" s="10"/>
      <c r="I24" s="61"/>
      <c r="J24" s="11"/>
      <c r="K24" s="10"/>
      <c r="L24" s="61"/>
      <c r="M24" s="11"/>
      <c r="N24" s="10"/>
      <c r="O24" s="61"/>
      <c r="P24" s="11"/>
      <c r="Q24" s="68"/>
      <c r="R24" s="61"/>
      <c r="S24" s="53"/>
    </row>
    <row r="25" spans="1:19" s="4" customFormat="1" ht="168" customHeight="1" thickBot="1" x14ac:dyDescent="0.3">
      <c r="A25" s="11"/>
      <c r="B25" s="10"/>
      <c r="C25" s="10"/>
      <c r="D25" s="10"/>
      <c r="E25" s="26"/>
      <c r="F25" s="50"/>
      <c r="G25" s="18"/>
      <c r="H25" s="10"/>
      <c r="I25" s="61"/>
      <c r="J25" s="11"/>
      <c r="K25" s="10"/>
      <c r="L25" s="61"/>
      <c r="M25" s="11"/>
      <c r="N25" s="10"/>
      <c r="O25" s="61"/>
      <c r="P25" s="11"/>
      <c r="Q25" s="68"/>
      <c r="R25" s="61"/>
      <c r="S25" s="53"/>
    </row>
    <row r="26" spans="1:19" s="4" customFormat="1" ht="168" customHeight="1" thickBot="1" x14ac:dyDescent="0.3">
      <c r="A26" s="11"/>
      <c r="B26" s="10"/>
      <c r="C26" s="10"/>
      <c r="D26" s="10"/>
      <c r="E26" s="26"/>
      <c r="F26" s="50"/>
      <c r="G26" s="18"/>
      <c r="H26" s="10"/>
      <c r="I26" s="61"/>
      <c r="J26" s="11"/>
      <c r="K26" s="10"/>
      <c r="L26" s="61"/>
      <c r="M26" s="11"/>
      <c r="N26" s="10"/>
      <c r="O26" s="61"/>
      <c r="P26" s="11"/>
      <c r="Q26" s="68"/>
      <c r="R26" s="61"/>
      <c r="S26" s="53"/>
    </row>
    <row r="27" spans="1:19" s="4" customFormat="1" ht="168" customHeight="1" thickBot="1" x14ac:dyDescent="0.3">
      <c r="A27" s="11"/>
      <c r="B27" s="10"/>
      <c r="C27" s="10"/>
      <c r="D27" s="10"/>
      <c r="E27" s="26"/>
      <c r="F27" s="50"/>
      <c r="G27" s="18"/>
      <c r="H27" s="10"/>
      <c r="I27" s="61"/>
      <c r="J27" s="11"/>
      <c r="K27" s="10"/>
      <c r="L27" s="61"/>
      <c r="M27" s="11"/>
      <c r="N27" s="10"/>
      <c r="O27" s="61"/>
      <c r="P27" s="11"/>
      <c r="Q27" s="68"/>
      <c r="R27" s="61"/>
      <c r="S27" s="53"/>
    </row>
    <row r="28" spans="1:19" s="4" customFormat="1" ht="168" customHeight="1" thickBot="1" x14ac:dyDescent="0.3">
      <c r="A28" s="11"/>
      <c r="B28" s="10"/>
      <c r="C28" s="10"/>
      <c r="D28" s="10"/>
      <c r="E28" s="26"/>
      <c r="F28" s="50"/>
      <c r="G28" s="18"/>
      <c r="H28" s="10"/>
      <c r="I28" s="61"/>
      <c r="J28" s="11"/>
      <c r="K28" s="10"/>
      <c r="L28" s="61"/>
      <c r="M28" s="11"/>
      <c r="N28" s="10"/>
      <c r="O28" s="61"/>
      <c r="P28" s="11"/>
      <c r="Q28" s="68"/>
      <c r="R28" s="61"/>
      <c r="S28" s="53"/>
    </row>
    <row r="29" spans="1:19" s="4" customFormat="1" ht="168" customHeight="1" thickBot="1" x14ac:dyDescent="0.3">
      <c r="A29" s="11"/>
      <c r="B29" s="10"/>
      <c r="C29" s="10"/>
      <c r="D29" s="10"/>
      <c r="E29" s="26"/>
      <c r="F29" s="50"/>
      <c r="G29" s="18"/>
      <c r="H29" s="10"/>
      <c r="I29" s="61"/>
      <c r="J29" s="11"/>
      <c r="K29" s="10"/>
      <c r="L29" s="61"/>
      <c r="M29" s="11"/>
      <c r="N29" s="10"/>
      <c r="O29" s="61"/>
      <c r="P29" s="11"/>
      <c r="Q29" s="68"/>
      <c r="R29" s="61"/>
      <c r="S29" s="53"/>
    </row>
    <row r="30" spans="1:19" s="4" customFormat="1" ht="168" customHeight="1" thickBot="1" x14ac:dyDescent="0.3">
      <c r="A30" s="11"/>
      <c r="B30" s="10"/>
      <c r="C30" s="10"/>
      <c r="D30" s="10"/>
      <c r="E30" s="26"/>
      <c r="F30" s="50"/>
      <c r="G30" s="18"/>
      <c r="H30" s="10"/>
      <c r="I30" s="61"/>
      <c r="J30" s="11"/>
      <c r="K30" s="10"/>
      <c r="L30" s="61"/>
      <c r="M30" s="11"/>
      <c r="N30" s="10"/>
      <c r="O30" s="61"/>
      <c r="P30" s="11"/>
      <c r="Q30" s="68"/>
      <c r="R30" s="61"/>
      <c r="S30" s="53"/>
    </row>
    <row r="31" spans="1:19" s="4" customFormat="1" ht="168" customHeight="1" thickBot="1" x14ac:dyDescent="0.3">
      <c r="A31" s="11"/>
      <c r="B31" s="10"/>
      <c r="C31" s="10"/>
      <c r="D31" s="10"/>
      <c r="E31" s="26"/>
      <c r="F31" s="50"/>
      <c r="G31" s="18"/>
      <c r="H31" s="10"/>
      <c r="I31" s="61"/>
      <c r="J31" s="11"/>
      <c r="K31" s="10"/>
      <c r="L31" s="61"/>
      <c r="M31" s="11"/>
      <c r="N31" s="10"/>
      <c r="O31" s="61"/>
      <c r="P31" s="11"/>
      <c r="Q31" s="68"/>
      <c r="R31" s="61"/>
      <c r="S31" s="53"/>
    </row>
    <row r="32" spans="1:19" s="4" customFormat="1" ht="168" customHeight="1" thickBot="1" x14ac:dyDescent="0.3">
      <c r="A32" s="11"/>
      <c r="B32" s="10"/>
      <c r="C32" s="10"/>
      <c r="D32" s="10"/>
      <c r="E32" s="26"/>
      <c r="F32" s="50"/>
      <c r="G32" s="18"/>
      <c r="H32" s="10"/>
      <c r="I32" s="61"/>
      <c r="J32" s="11"/>
      <c r="K32" s="10"/>
      <c r="L32" s="61"/>
      <c r="M32" s="11"/>
      <c r="N32" s="10"/>
      <c r="O32" s="61"/>
      <c r="P32" s="11"/>
      <c r="Q32" s="68"/>
      <c r="R32" s="61"/>
      <c r="S32" s="53"/>
    </row>
    <row r="33" spans="1:19" s="4" customFormat="1" ht="16.5" thickBot="1" x14ac:dyDescent="0.3">
      <c r="A33" s="11"/>
      <c r="B33" s="10"/>
      <c r="C33" s="10"/>
      <c r="D33" s="10"/>
      <c r="E33" s="10"/>
      <c r="F33" s="10"/>
      <c r="G33" s="10"/>
      <c r="H33" s="10"/>
      <c r="I33" s="10"/>
      <c r="J33" s="11"/>
      <c r="K33" s="11"/>
      <c r="L33" s="11"/>
      <c r="M33" s="11"/>
      <c r="N33" s="10"/>
      <c r="O33" s="11"/>
      <c r="P33" s="10"/>
      <c r="Q33" s="134" t="s">
        <v>41</v>
      </c>
      <c r="R33" s="135"/>
      <c r="S33" s="47">
        <f>SUM(S7:S7)</f>
        <v>0</v>
      </c>
    </row>
    <row r="34" spans="1:19" s="4" customFormat="1" ht="25.5" customHeight="1" x14ac:dyDescent="0.35">
      <c r="A34" s="12"/>
      <c r="L34" s="12"/>
      <c r="M34" s="12"/>
      <c r="O34" s="12"/>
      <c r="Q34" s="133" t="s">
        <v>4</v>
      </c>
      <c r="R34" s="133"/>
      <c r="S34" s="27">
        <f>S33/2</f>
        <v>0</v>
      </c>
    </row>
    <row r="35" spans="1:19" s="4" customFormat="1" ht="15.75" x14ac:dyDescent="0.25">
      <c r="A35" s="65"/>
      <c r="B35" s="65"/>
      <c r="C35" s="65"/>
      <c r="D35" s="65" t="s">
        <v>59</v>
      </c>
      <c r="E35" s="64">
        <f>COUNTIF(E7:E33,"-")</f>
        <v>0</v>
      </c>
      <c r="F35" s="65"/>
      <c r="G35" s="65"/>
      <c r="H35" s="65" t="s">
        <v>22</v>
      </c>
      <c r="I35" s="64">
        <f>COUNTIF(I7:I33,0)</f>
        <v>0</v>
      </c>
      <c r="J35" s="63"/>
      <c r="K35" s="65" t="s">
        <v>22</v>
      </c>
      <c r="L35" s="64">
        <f>COUNTIF(L7:L33,0)</f>
        <v>0</v>
      </c>
      <c r="M35" s="63"/>
      <c r="N35" s="65" t="s">
        <v>22</v>
      </c>
      <c r="O35" s="64">
        <f>COUNTIF(O7:O33,0)</f>
        <v>0</v>
      </c>
      <c r="P35" s="64"/>
      <c r="Q35" s="65" t="s">
        <v>22</v>
      </c>
      <c r="R35" s="64">
        <f>COUNTIF(R7:R33,0)</f>
        <v>0</v>
      </c>
      <c r="S35" s="65"/>
    </row>
    <row r="36" spans="1:19" x14ac:dyDescent="0.25">
      <c r="A36" s="65"/>
      <c r="B36" s="65"/>
      <c r="C36" s="65"/>
      <c r="D36" s="65"/>
      <c r="E36" s="65"/>
      <c r="F36" s="65"/>
      <c r="G36" s="65"/>
      <c r="H36" s="65" t="s">
        <v>23</v>
      </c>
      <c r="I36" s="64">
        <f>COUNTIF(I7:I33,1)</f>
        <v>0</v>
      </c>
      <c r="J36" s="63"/>
      <c r="K36" s="65" t="s">
        <v>23</v>
      </c>
      <c r="L36" s="64">
        <f>COUNTIF(L7:L33,1)</f>
        <v>0</v>
      </c>
      <c r="M36" s="63"/>
      <c r="N36" s="65" t="s">
        <v>23</v>
      </c>
      <c r="O36" s="64">
        <f>COUNTIF(O7:O33,1)</f>
        <v>0</v>
      </c>
      <c r="P36" s="64"/>
      <c r="Q36" s="65" t="s">
        <v>23</v>
      </c>
      <c r="R36" s="64">
        <f>COUNTIF(R7:R33,1)</f>
        <v>0</v>
      </c>
      <c r="S36" s="65"/>
    </row>
    <row r="37" spans="1:19" x14ac:dyDescent="0.25">
      <c r="A37" s="65"/>
      <c r="B37" s="65"/>
      <c r="C37" s="65"/>
      <c r="D37" s="65"/>
      <c r="E37" s="65"/>
      <c r="F37" s="65"/>
      <c r="G37" s="65"/>
      <c r="H37" s="65"/>
      <c r="I37" s="64"/>
      <c r="J37" s="63"/>
      <c r="K37" s="65"/>
      <c r="L37" s="64"/>
      <c r="M37" s="63"/>
      <c r="N37" s="65"/>
      <c r="O37" s="64"/>
      <c r="P37" s="64"/>
      <c r="Q37" s="65"/>
      <c r="R37" s="64"/>
      <c r="S37" s="65"/>
    </row>
  </sheetData>
  <mergeCells count="16">
    <mergeCell ref="Q34:R34"/>
    <mergeCell ref="Q33:R33"/>
    <mergeCell ref="M5:O5"/>
    <mergeCell ref="G5:I5"/>
    <mergeCell ref="G6:H6"/>
    <mergeCell ref="A2:S2"/>
    <mergeCell ref="A5:A6"/>
    <mergeCell ref="B5:B6"/>
    <mergeCell ref="E5:E6"/>
    <mergeCell ref="F5:F6"/>
    <mergeCell ref="P5:R5"/>
    <mergeCell ref="P6:Q6"/>
    <mergeCell ref="J5:L5"/>
    <mergeCell ref="J6:K6"/>
    <mergeCell ref="C5:D6"/>
    <mergeCell ref="M6:N6"/>
  </mergeCells>
  <dataValidations count="1">
    <dataValidation type="list" allowBlank="1" showInputMessage="1" showErrorMessage="1" sqref="I7:I32 L7:L32 O7:O32 R7:R32">
      <formula1>Tmb_yes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8"/>
  <sheetViews>
    <sheetView view="pageBreakPreview" zoomScale="90" zoomScaleNormal="100" zoomScaleSheetLayoutView="90" workbookViewId="0">
      <selection activeCell="D12" sqref="D12"/>
    </sheetView>
  </sheetViews>
  <sheetFormatPr defaultRowHeight="15" x14ac:dyDescent="0.25"/>
  <cols>
    <col min="1" max="1" width="14.42578125" customWidth="1"/>
    <col min="2" max="2" width="15.5703125" customWidth="1"/>
    <col min="3" max="3" width="20.5703125" hidden="1" customWidth="1"/>
    <col min="4" max="4" width="20.28515625" customWidth="1"/>
    <col min="5" max="5" width="18.7109375" customWidth="1"/>
    <col min="6" max="6" width="16.28515625" customWidth="1"/>
    <col min="7" max="7" width="23.28515625" customWidth="1"/>
  </cols>
  <sheetData>
    <row r="2" spans="1:7" ht="30" customHeight="1" thickBot="1" x14ac:dyDescent="0.45">
      <c r="A2" s="136" t="s">
        <v>53</v>
      </c>
      <c r="B2" s="136"/>
      <c r="C2" s="136"/>
      <c r="D2" s="136"/>
      <c r="E2" s="136"/>
      <c r="F2" s="136"/>
      <c r="G2" s="136"/>
    </row>
    <row r="3" spans="1:7" ht="26.25" x14ac:dyDescent="0.4">
      <c r="A3" s="35" t="str">
        <f>'Data Unit kerja'!B45</f>
        <v xml:space="preserve">UNIT KERJA  : diisi nama Unit Kerja </v>
      </c>
      <c r="B3" s="37"/>
      <c r="C3" s="37"/>
      <c r="D3" s="37"/>
      <c r="E3" s="37"/>
      <c r="F3" s="37"/>
      <c r="G3" s="37"/>
    </row>
    <row r="4" spans="1:7" ht="37.5" x14ac:dyDescent="0.25">
      <c r="A4" s="66" t="s">
        <v>62</v>
      </c>
      <c r="B4" s="21" t="s">
        <v>40</v>
      </c>
      <c r="C4" s="125" t="s">
        <v>6</v>
      </c>
      <c r="D4" s="125"/>
      <c r="E4" s="20" t="s">
        <v>56</v>
      </c>
      <c r="F4" s="21" t="s">
        <v>7</v>
      </c>
      <c r="G4" s="21" t="s">
        <v>42</v>
      </c>
    </row>
    <row r="5" spans="1:7" s="4" customFormat="1" ht="15.75" x14ac:dyDescent="0.25">
      <c r="A5" s="39" t="s">
        <v>63</v>
      </c>
      <c r="B5" s="39">
        <f>'Data Unit kerja'!D11</f>
        <v>2</v>
      </c>
      <c r="C5" s="40"/>
      <c r="D5" s="46">
        <f>'Data Unit kerja'!D18</f>
        <v>3500000</v>
      </c>
      <c r="E5" s="46">
        <f>'Data Unit kerja'!E18</f>
        <v>3500000</v>
      </c>
      <c r="F5" s="38">
        <f>D5-E5</f>
        <v>0</v>
      </c>
      <c r="G5" s="67">
        <f>+F5/E5</f>
        <v>0</v>
      </c>
    </row>
    <row r="6" spans="1:7" s="4" customFormat="1" ht="15.75" x14ac:dyDescent="0.25">
      <c r="A6" s="39" t="s">
        <v>64</v>
      </c>
      <c r="B6" s="39">
        <f>'Data Unit kerja'!D12</f>
        <v>8</v>
      </c>
      <c r="C6" s="40"/>
      <c r="D6" s="46">
        <f>'Data Unit kerja'!D19</f>
        <v>1500000</v>
      </c>
      <c r="E6" s="46">
        <f>'Data Unit kerja'!E19</f>
        <v>1250000</v>
      </c>
      <c r="F6" s="109">
        <f>D6-E6</f>
        <v>250000</v>
      </c>
      <c r="G6" s="67">
        <f>+F6/E6</f>
        <v>0.2</v>
      </c>
    </row>
    <row r="7" spans="1:7" s="4" customFormat="1" ht="15.75" x14ac:dyDescent="0.25">
      <c r="A7" s="40"/>
      <c r="B7" s="40"/>
      <c r="C7" s="40"/>
      <c r="D7" s="41"/>
      <c r="E7" s="41"/>
      <c r="F7" s="41"/>
      <c r="G7" s="41"/>
    </row>
    <row r="8" spans="1:7" ht="23.25" x14ac:dyDescent="0.25">
      <c r="A8" s="42" t="s">
        <v>8</v>
      </c>
      <c r="B8" s="43">
        <f>'Data Unit kerja'!D13</f>
        <v>10</v>
      </c>
      <c r="C8" s="43"/>
      <c r="D8" s="44"/>
      <c r="E8" s="44"/>
      <c r="F8" s="44"/>
      <c r="G8" s="44">
        <f>SUM(G5:G7)</f>
        <v>0.2</v>
      </c>
    </row>
  </sheetData>
  <mergeCells count="2">
    <mergeCell ref="A2:G2"/>
    <mergeCell ref="C4:D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J18"/>
  <sheetViews>
    <sheetView workbookViewId="0">
      <selection activeCell="I13" sqref="I13"/>
    </sheetView>
  </sheetViews>
  <sheetFormatPr defaultRowHeight="15" x14ac:dyDescent="0.25"/>
  <cols>
    <col min="3" max="3" width="12.140625" customWidth="1"/>
    <col min="8" max="8" width="4.7109375" style="14" customWidth="1"/>
    <col min="9" max="9" width="32.140625" style="23" customWidth="1"/>
    <col min="10" max="10" width="12.42578125" customWidth="1"/>
  </cols>
  <sheetData>
    <row r="2" spans="1:10" ht="35.25" customHeight="1" x14ac:dyDescent="0.25">
      <c r="A2" s="139" t="s">
        <v>16</v>
      </c>
      <c r="B2" s="139"/>
      <c r="C2" s="139"/>
      <c r="D2" s="139"/>
      <c r="E2" s="139"/>
      <c r="F2" s="139"/>
      <c r="G2" s="139"/>
      <c r="H2" s="139"/>
      <c r="I2" s="139"/>
      <c r="J2" s="139"/>
    </row>
    <row r="3" spans="1:10" ht="21" x14ac:dyDescent="0.35">
      <c r="A3" s="22" t="s">
        <v>61</v>
      </c>
      <c r="B3" s="34"/>
      <c r="C3" s="34"/>
      <c r="D3" s="34"/>
      <c r="E3" s="34"/>
      <c r="F3" s="34"/>
      <c r="G3" s="34"/>
      <c r="H3" s="34"/>
      <c r="I3" s="34"/>
    </row>
    <row r="4" spans="1:10" ht="26.25" customHeight="1" x14ac:dyDescent="0.25">
      <c r="A4" s="140" t="s">
        <v>17</v>
      </c>
      <c r="B4" s="140"/>
      <c r="C4" s="140"/>
      <c r="D4" s="141">
        <f>J18</f>
        <v>82.3</v>
      </c>
      <c r="E4" s="142"/>
      <c r="F4" s="143"/>
      <c r="H4" s="36" t="s">
        <v>10</v>
      </c>
      <c r="I4" s="36" t="s">
        <v>38</v>
      </c>
      <c r="J4" s="36" t="s">
        <v>39</v>
      </c>
    </row>
    <row r="5" spans="1:10" ht="27" customHeight="1" x14ac:dyDescent="0.25">
      <c r="H5" s="24">
        <v>1</v>
      </c>
      <c r="I5" s="25">
        <f>'Data Unit kerja'!N5</f>
        <v>0</v>
      </c>
      <c r="J5" s="25">
        <f>'Data Unit kerja'!O5</f>
        <v>89</v>
      </c>
    </row>
    <row r="6" spans="1:10" x14ac:dyDescent="0.25">
      <c r="E6" s="28"/>
      <c r="H6" s="24">
        <v>2</v>
      </c>
      <c r="I6" s="25">
        <f>'Data Unit kerja'!N6</f>
        <v>0</v>
      </c>
      <c r="J6" s="25">
        <f>'Data Unit kerja'!O6</f>
        <v>84</v>
      </c>
    </row>
    <row r="7" spans="1:10" x14ac:dyDescent="0.25">
      <c r="E7" s="28"/>
      <c r="H7" s="24">
        <v>3</v>
      </c>
      <c r="I7" s="25">
        <f>'Data Unit kerja'!N7</f>
        <v>0</v>
      </c>
      <c r="J7" s="25">
        <f>'Data Unit kerja'!O7</f>
        <v>86</v>
      </c>
    </row>
    <row r="8" spans="1:10" x14ac:dyDescent="0.25">
      <c r="E8" s="28"/>
      <c r="H8" s="24">
        <v>4</v>
      </c>
      <c r="I8" s="25">
        <f>'Data Unit kerja'!N8</f>
        <v>0</v>
      </c>
      <c r="J8" s="25">
        <f>'Data Unit kerja'!O8</f>
        <v>90</v>
      </c>
    </row>
    <row r="9" spans="1:10" x14ac:dyDescent="0.25">
      <c r="H9" s="24">
        <v>5</v>
      </c>
      <c r="I9" s="25">
        <f>'Data Unit kerja'!N9</f>
        <v>0</v>
      </c>
      <c r="J9" s="25">
        <f>'Data Unit kerja'!O9</f>
        <v>80</v>
      </c>
    </row>
    <row r="10" spans="1:10" x14ac:dyDescent="0.25">
      <c r="H10" s="24">
        <v>6</v>
      </c>
      <c r="I10" s="25">
        <f>'Data Unit kerja'!N10</f>
        <v>0</v>
      </c>
      <c r="J10" s="25">
        <f>'Data Unit kerja'!O10</f>
        <v>75</v>
      </c>
    </row>
    <row r="11" spans="1:10" x14ac:dyDescent="0.25">
      <c r="H11" s="24">
        <v>7</v>
      </c>
      <c r="I11" s="25">
        <f>'Data Unit kerja'!N11</f>
        <v>0</v>
      </c>
      <c r="J11" s="25">
        <f>'Data Unit kerja'!O11</f>
        <v>80</v>
      </c>
    </row>
    <row r="12" spans="1:10" x14ac:dyDescent="0.25">
      <c r="H12" s="24">
        <v>8</v>
      </c>
      <c r="I12" s="25">
        <f>'Data Unit kerja'!N12</f>
        <v>0</v>
      </c>
      <c r="J12" s="25">
        <f>'Data Unit kerja'!O12</f>
        <v>79</v>
      </c>
    </row>
    <row r="13" spans="1:10" x14ac:dyDescent="0.25">
      <c r="H13" s="24">
        <v>9</v>
      </c>
      <c r="I13" s="25">
        <f>'Data Unit kerja'!N13</f>
        <v>0</v>
      </c>
      <c r="J13" s="25">
        <f>'Data Unit kerja'!O13</f>
        <v>80</v>
      </c>
    </row>
    <row r="14" spans="1:10" x14ac:dyDescent="0.25">
      <c r="H14" s="24">
        <v>10</v>
      </c>
      <c r="I14" s="25">
        <f>'Data Unit kerja'!N14</f>
        <v>0</v>
      </c>
      <c r="J14" s="25">
        <f>'Data Unit kerja'!O14</f>
        <v>80</v>
      </c>
    </row>
    <row r="15" spans="1:10" x14ac:dyDescent="0.25">
      <c r="H15" s="24"/>
      <c r="I15" s="25"/>
      <c r="J15" s="25"/>
    </row>
    <row r="16" spans="1:10" x14ac:dyDescent="0.25">
      <c r="H16" s="24"/>
      <c r="I16" s="25"/>
      <c r="J16" s="25"/>
    </row>
    <row r="17" spans="8:10" x14ac:dyDescent="0.25">
      <c r="H17" s="137" t="s">
        <v>41</v>
      </c>
      <c r="I17" s="137"/>
      <c r="J17" s="30">
        <f>SUM(J5:J16)</f>
        <v>823</v>
      </c>
    </row>
    <row r="18" spans="8:10" x14ac:dyDescent="0.25">
      <c r="H18" s="138" t="s">
        <v>54</v>
      </c>
      <c r="I18" s="138"/>
      <c r="J18" s="88">
        <f>J17/'Data Unit kerja'!D13</f>
        <v>82.3</v>
      </c>
    </row>
  </sheetData>
  <mergeCells count="5">
    <mergeCell ref="H17:I17"/>
    <mergeCell ref="H18:I18"/>
    <mergeCell ref="A2:J2"/>
    <mergeCell ref="A4:C4"/>
    <mergeCell ref="D4:F4"/>
  </mergeCells>
  <pageMargins left="0.7" right="0.7" top="0.75" bottom="0.75" header="0.3" footer="0.3"/>
  <pageSetup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I9"/>
  <sheetViews>
    <sheetView view="pageBreakPreview" zoomScale="60" zoomScaleNormal="100" workbookViewId="0">
      <selection activeCell="H7" sqref="H7"/>
    </sheetView>
  </sheetViews>
  <sheetFormatPr defaultRowHeight="15" x14ac:dyDescent="0.25"/>
  <cols>
    <col min="1" max="1" width="6.85546875" style="1" customWidth="1"/>
    <col min="2" max="3" width="29.28515625" customWidth="1"/>
    <col min="4" max="4" width="22.5703125" customWidth="1"/>
  </cols>
  <sheetData>
    <row r="2" spans="1:9" ht="33" customHeight="1" x14ac:dyDescent="0.4">
      <c r="A2" s="144" t="s">
        <v>9</v>
      </c>
      <c r="B2" s="144"/>
      <c r="C2" s="144"/>
      <c r="D2" s="144"/>
      <c r="E2" s="8"/>
      <c r="F2" s="8"/>
      <c r="G2" s="8"/>
      <c r="H2" s="8"/>
      <c r="I2" s="8"/>
    </row>
    <row r="3" spans="1:9" ht="21.75" thickBot="1" x14ac:dyDescent="0.4">
      <c r="A3" s="22" t="str">
        <f>'Data Unit kerja'!B45</f>
        <v xml:space="preserve">UNIT KERJA  : diisi nama Unit Kerja </v>
      </c>
    </row>
    <row r="4" spans="1:9" ht="30" customHeight="1" thickBot="1" x14ac:dyDescent="0.3">
      <c r="A4" s="7" t="s">
        <v>10</v>
      </c>
      <c r="B4" s="7" t="s">
        <v>11</v>
      </c>
      <c r="C4" s="7" t="s">
        <v>12</v>
      </c>
      <c r="D4" s="7" t="s">
        <v>8</v>
      </c>
    </row>
    <row r="5" spans="1:9" ht="24.75" thickTop="1" thickBot="1" x14ac:dyDescent="0.3">
      <c r="A5" s="31">
        <v>1</v>
      </c>
      <c r="B5" s="5" t="s">
        <v>13</v>
      </c>
      <c r="C5" s="96">
        <f>'Data Unit kerja'!D25</f>
        <v>0</v>
      </c>
      <c r="D5" s="91">
        <f>+C5*3</f>
        <v>0</v>
      </c>
    </row>
    <row r="6" spans="1:9" ht="24" thickBot="1" x14ac:dyDescent="0.3">
      <c r="A6" s="32">
        <v>2</v>
      </c>
      <c r="B6" s="3" t="s">
        <v>14</v>
      </c>
      <c r="C6" s="97">
        <f>'Data Unit kerja'!E25</f>
        <v>0</v>
      </c>
      <c r="D6" s="92">
        <f>+C6*2</f>
        <v>0</v>
      </c>
    </row>
    <row r="7" spans="1:9" ht="24" thickBot="1" x14ac:dyDescent="0.3">
      <c r="A7" s="33">
        <v>3</v>
      </c>
      <c r="B7" s="6" t="s">
        <v>15</v>
      </c>
      <c r="C7" s="98">
        <f>'Data Unit kerja'!F25</f>
        <v>2</v>
      </c>
      <c r="D7" s="93">
        <f>+C7</f>
        <v>2</v>
      </c>
    </row>
    <row r="8" spans="1:9" ht="24" thickBot="1" x14ac:dyDescent="0.3">
      <c r="A8" s="33"/>
      <c r="B8" s="6" t="s">
        <v>65</v>
      </c>
      <c r="C8" s="99">
        <f>'Data Unit kerja'!D13</f>
        <v>10</v>
      </c>
      <c r="D8" s="93">
        <f>SUM(D5:D7)</f>
        <v>2</v>
      </c>
    </row>
    <row r="9" spans="1:9" ht="24" thickBot="1" x14ac:dyDescent="0.3">
      <c r="A9" s="9"/>
      <c r="B9" s="2"/>
      <c r="C9" s="94" t="s">
        <v>55</v>
      </c>
      <c r="D9" s="95">
        <f>+D8/C8</f>
        <v>0.2</v>
      </c>
    </row>
  </sheetData>
  <mergeCells count="1"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7"/>
  <sheetViews>
    <sheetView workbookViewId="0">
      <pane ySplit="6" topLeftCell="A7" activePane="bottomLeft" state="frozen"/>
      <selection pane="bottomLeft" activeCell="C27" sqref="C27"/>
    </sheetView>
  </sheetViews>
  <sheetFormatPr defaultRowHeight="15" x14ac:dyDescent="0.25"/>
  <cols>
    <col min="1" max="1" width="6.42578125" customWidth="1"/>
    <col min="2" max="2" width="52.140625" customWidth="1"/>
    <col min="3" max="3" width="22.42578125" customWidth="1"/>
  </cols>
  <sheetData>
    <row r="1" spans="1:11" ht="15.75" x14ac:dyDescent="0.25">
      <c r="A1" s="146" t="s">
        <v>52</v>
      </c>
      <c r="B1" s="146"/>
      <c r="C1" s="146"/>
    </row>
    <row r="2" spans="1:11" ht="15.75" x14ac:dyDescent="0.25">
      <c r="A2" s="146" t="str">
        <f>'Data Unit kerja'!D6</f>
        <v>PEMERINTAH KABUPATEN BANGKA</v>
      </c>
      <c r="B2" s="146"/>
      <c r="C2" s="146"/>
    </row>
    <row r="3" spans="1:11" ht="19.5" customHeight="1" x14ac:dyDescent="0.3">
      <c r="A3" s="148" t="str">
        <f>'Data Unit kerja'!B46</f>
        <v>TAHUN 2016</v>
      </c>
      <c r="B3" s="148"/>
      <c r="C3" s="148"/>
    </row>
    <row r="4" spans="1:11" x14ac:dyDescent="0.25">
      <c r="A4" s="147" t="str">
        <f>'Data Unit kerja'!B45</f>
        <v xml:space="preserve">UNIT KERJA  : diisi nama Unit Kerja </v>
      </c>
      <c r="B4" s="147"/>
      <c r="C4" s="147"/>
    </row>
    <row r="5" spans="1:11" x14ac:dyDescent="0.25">
      <c r="A5" s="147"/>
      <c r="B5" s="147"/>
      <c r="C5" s="147"/>
    </row>
    <row r="6" spans="1:11" ht="21.75" customHeight="1" x14ac:dyDescent="0.25">
      <c r="A6" s="36" t="s">
        <v>10</v>
      </c>
      <c r="B6" s="36" t="s">
        <v>44</v>
      </c>
      <c r="C6" s="36" t="s">
        <v>43</v>
      </c>
    </row>
    <row r="7" spans="1:11" s="103" customFormat="1" ht="23.25" customHeight="1" x14ac:dyDescent="0.25">
      <c r="A7" s="73" t="s">
        <v>27</v>
      </c>
      <c r="B7" s="101" t="s">
        <v>116</v>
      </c>
      <c r="C7" s="102">
        <f>'1. Kompetensi '!S34</f>
        <v>0</v>
      </c>
      <c r="H7" s="104"/>
      <c r="I7" s="104"/>
      <c r="J7" s="104"/>
      <c r="K7" s="104"/>
    </row>
    <row r="8" spans="1:11" s="103" customFormat="1" ht="23.25" customHeight="1" x14ac:dyDescent="0.25">
      <c r="A8" s="73" t="s">
        <v>28</v>
      </c>
      <c r="B8" s="101" t="s">
        <v>117</v>
      </c>
      <c r="C8" s="102">
        <f>'2. Kompensasi'!G8</f>
        <v>0.2</v>
      </c>
      <c r="E8" s="104" t="s">
        <v>51</v>
      </c>
    </row>
    <row r="9" spans="1:11" s="103" customFormat="1" ht="23.25" customHeight="1" x14ac:dyDescent="0.25">
      <c r="A9" s="73" t="s">
        <v>46</v>
      </c>
      <c r="B9" s="101" t="s">
        <v>45</v>
      </c>
      <c r="C9" s="102">
        <f>'3. Kinerja'!D4</f>
        <v>82.3</v>
      </c>
      <c r="E9" s="105" t="s">
        <v>49</v>
      </c>
      <c r="F9" s="106" t="s">
        <v>48</v>
      </c>
      <c r="G9" s="104"/>
    </row>
    <row r="10" spans="1:11" s="103" customFormat="1" ht="23.25" customHeight="1" x14ac:dyDescent="0.25">
      <c r="A10" s="73" t="s">
        <v>47</v>
      </c>
      <c r="B10" s="101" t="s">
        <v>57</v>
      </c>
      <c r="C10" s="102">
        <f>'4. Disiplin'!D9</f>
        <v>0.2</v>
      </c>
    </row>
    <row r="11" spans="1:11" s="103" customFormat="1" ht="34.5" customHeight="1" x14ac:dyDescent="0.25">
      <c r="A11" s="145" t="s">
        <v>50</v>
      </c>
      <c r="B11" s="145"/>
      <c r="C11" s="100">
        <f>(25*(1-C7))+(25*(1-C8))+((25*C9)/100)+(25*(1-C10))</f>
        <v>85.575000000000003</v>
      </c>
    </row>
    <row r="13" spans="1:11" x14ac:dyDescent="0.25">
      <c r="B13" s="51" t="s">
        <v>60</v>
      </c>
    </row>
    <row r="14" spans="1:11" x14ac:dyDescent="0.25">
      <c r="B14" s="49" t="str">
        <f>"1. Kesenjangan Pendidikan = "&amp;TEXT('1. Kompetensi '!I36-'1. Kompetensi '!E35,"0")&amp;" pegawai."</f>
        <v>1. Kesenjangan Pendidikan = 0 pegawai.</v>
      </c>
    </row>
    <row r="15" spans="1:11" x14ac:dyDescent="0.25">
      <c r="B15" s="49" t="str">
        <f>"2. Kesenjangan Pelatihan = "&amp;TEXT('1. Kompetensi '!L36-'1. Kompetensi '!E35,"0")&amp;" pegawai."</f>
        <v>2. Kesenjangan Pelatihan = 0 pegawai.</v>
      </c>
    </row>
    <row r="16" spans="1:11" x14ac:dyDescent="0.25">
      <c r="B16" s="49" t="str">
        <f>"3. Kesenjangan Pengalaman = "&amp;TEXT('1. Kompetensi '!O36-'1. Kompetensi '!E35,"0")&amp;" pegawai."</f>
        <v>3. Kesenjangan Pengalaman = 0 pegawai.</v>
      </c>
    </row>
    <row r="17" spans="2:3" x14ac:dyDescent="0.25">
      <c r="B17" s="49" t="str">
        <f>"4. Kesenjangan Administrasi = "&amp;TEXT('1. Kompetensi '!R36-'1. Kompetensi '!E35,"0")&amp;" pegawai."</f>
        <v>4. Kesenjangan Administrasi = 0 pegawai.</v>
      </c>
    </row>
    <row r="18" spans="2:3" x14ac:dyDescent="0.25">
      <c r="B18" s="49" t="str">
        <f>"5. Jabatan Kosong = "&amp;TEXT('1. Kompetensi '!E35,"0")&amp;""</f>
        <v>5. Jabatan Kosong = 0</v>
      </c>
    </row>
    <row r="19" spans="2:3" x14ac:dyDescent="0.25">
      <c r="C19" t="str">
        <f ca="1">'Data Unit kerja'!O26</f>
        <v>Sungailiat,  27 Februari 2017</v>
      </c>
    </row>
    <row r="20" spans="2:3" s="49" customFormat="1" x14ac:dyDescent="0.25"/>
    <row r="21" spans="2:3" x14ac:dyDescent="0.25">
      <c r="C21" t="str">
        <f>'Data Unit kerja'!O28</f>
        <v>Kerpala BKPSDMD</v>
      </c>
    </row>
    <row r="26" spans="2:3" x14ac:dyDescent="0.25">
      <c r="C26" t="str">
        <f>'Data Unit kerja'!O32</f>
        <v>SURTAM, S.IP</v>
      </c>
    </row>
    <row r="27" spans="2:3" x14ac:dyDescent="0.25">
      <c r="C27" s="49" t="str">
        <f>'Data Unit kerja'!O33</f>
        <v>NIP 19601211 198503 1 010</v>
      </c>
    </row>
  </sheetData>
  <mergeCells count="6">
    <mergeCell ref="A11:B11"/>
    <mergeCell ref="A1:C1"/>
    <mergeCell ref="A2:C2"/>
    <mergeCell ref="A4:C4"/>
    <mergeCell ref="A5:C5"/>
    <mergeCell ref="A3:C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M16" sqref="M16"/>
    </sheetView>
  </sheetViews>
  <sheetFormatPr defaultRowHeight="15" x14ac:dyDescent="0.25"/>
  <sheetData>
    <row r="1" spans="1:2" ht="15.75" x14ac:dyDescent="0.25">
      <c r="A1" s="12"/>
      <c r="B1" s="15" t="s">
        <v>32</v>
      </c>
    </row>
    <row r="2" spans="1:2" x14ac:dyDescent="0.25">
      <c r="A2" s="1" t="s">
        <v>27</v>
      </c>
      <c r="B2" s="16" t="s">
        <v>29</v>
      </c>
    </row>
    <row r="3" spans="1:2" x14ac:dyDescent="0.25">
      <c r="A3" s="1"/>
      <c r="B3" s="16" t="s">
        <v>30</v>
      </c>
    </row>
    <row r="4" spans="1:2" x14ac:dyDescent="0.25">
      <c r="A4" s="1"/>
      <c r="B4" s="16" t="s">
        <v>31</v>
      </c>
    </row>
    <row r="5" spans="1:2" x14ac:dyDescent="0.25">
      <c r="A5" s="1" t="s">
        <v>28</v>
      </c>
      <c r="B5" t="s">
        <v>26</v>
      </c>
    </row>
    <row r="6" spans="1:2" x14ac:dyDescent="0.25">
      <c r="A6" s="1"/>
    </row>
    <row r="7" spans="1:2" x14ac:dyDescent="0.25">
      <c r="A7" s="1"/>
      <c r="B7" t="s">
        <v>33</v>
      </c>
    </row>
    <row r="8" spans="1:2" x14ac:dyDescent="0.25">
      <c r="A8" s="1"/>
      <c r="B8" t="s">
        <v>34</v>
      </c>
    </row>
    <row r="9" spans="1:2" x14ac:dyDescent="0.25">
      <c r="A9" s="1"/>
      <c r="B9" t="s">
        <v>35</v>
      </c>
    </row>
    <row r="10" spans="1:2" x14ac:dyDescent="0.25">
      <c r="A10" s="1"/>
      <c r="B10" t="s">
        <v>36</v>
      </c>
    </row>
    <row r="11" spans="1:2" x14ac:dyDescent="0.25">
      <c r="A11" s="1"/>
      <c r="B11" t="s">
        <v>37</v>
      </c>
    </row>
    <row r="12" spans="1:2" x14ac:dyDescent="0.25">
      <c r="A12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D7" sqref="D7"/>
    </sheetView>
  </sheetViews>
  <sheetFormatPr defaultRowHeight="15" x14ac:dyDescent="0.25"/>
  <cols>
    <col min="1" max="1" width="6.85546875" style="54" customWidth="1"/>
    <col min="2" max="3" width="9.140625" style="54"/>
    <col min="4" max="4" width="5.28515625" style="54" customWidth="1"/>
    <col min="5" max="10" width="9.140625" style="54"/>
    <col min="11" max="11" width="20.28515625" style="54" customWidth="1"/>
    <col min="12" max="12" width="7.28515625" style="54" customWidth="1"/>
    <col min="13" max="13" width="6" style="54" customWidth="1"/>
    <col min="14" max="16384" width="9.140625" style="54"/>
  </cols>
  <sheetData>
    <row r="1" spans="1:13" ht="25.5" customHeight="1" x14ac:dyDescent="0.3">
      <c r="A1" s="62">
        <v>0</v>
      </c>
      <c r="D1" s="60">
        <v>1</v>
      </c>
      <c r="E1" s="59"/>
      <c r="F1" s="60">
        <v>1</v>
      </c>
      <c r="G1" s="59"/>
      <c r="H1" s="60">
        <v>0</v>
      </c>
      <c r="I1" s="59"/>
      <c r="J1" s="60">
        <v>1</v>
      </c>
      <c r="K1" s="56"/>
      <c r="L1" s="57" t="s">
        <v>4</v>
      </c>
      <c r="M1" s="58">
        <f>+D1+F1+H1+J1</f>
        <v>3</v>
      </c>
    </row>
    <row r="2" spans="1:13" ht="18.75" x14ac:dyDescent="0.3">
      <c r="A2" s="62">
        <v>1</v>
      </c>
      <c r="M2" s="55"/>
    </row>
    <row r="7" spans="1:13" ht="36" customHeight="1" x14ac:dyDescent="0.25">
      <c r="D7" s="61">
        <v>0</v>
      </c>
    </row>
  </sheetData>
  <dataValidations count="2">
    <dataValidation type="list" allowBlank="1" showInputMessage="1" showErrorMessage="1" sqref="C1">
      <formula1>"tombol"</formula1>
    </dataValidation>
    <dataValidation type="list" allowBlank="1" showInputMessage="1" showErrorMessage="1" sqref="D1 H1 F1 J1 D7">
      <formula1>Tmb_yes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Data Unit kerja</vt:lpstr>
      <vt:lpstr>1. Kompetensi </vt:lpstr>
      <vt:lpstr>2. Kompensasi</vt:lpstr>
      <vt:lpstr>3. Kinerja</vt:lpstr>
      <vt:lpstr>4. Disiplin</vt:lpstr>
      <vt:lpstr>Cetak IPP</vt:lpstr>
      <vt:lpstr>CATATAN</vt:lpstr>
      <vt:lpstr>tombol</vt:lpstr>
      <vt:lpstr>'1. Kompetensi '!Print_Area</vt:lpstr>
      <vt:lpstr>'1. Kompetensi '!Print_Titles</vt:lpstr>
      <vt:lpstr>Tmb_yes</vt:lpstr>
      <vt:lpstr>Tombol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user</cp:lastModifiedBy>
  <cp:lastPrinted>2016-08-15T06:38:45Z</cp:lastPrinted>
  <dcterms:created xsi:type="dcterms:W3CDTF">2016-06-28T07:59:19Z</dcterms:created>
  <dcterms:modified xsi:type="dcterms:W3CDTF">2017-02-27T01:46:08Z</dcterms:modified>
</cp:coreProperties>
</file>