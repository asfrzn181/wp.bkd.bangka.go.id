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5600" windowHeight="8535"/>
  </bookViews>
  <sheets>
    <sheet name="Data Unit kerja" sheetId="9" r:id="rId1"/>
    <sheet name="1. Kompetensi " sheetId="1" r:id="rId2"/>
    <sheet name="2. Kompensasi" sheetId="2" r:id="rId3"/>
    <sheet name="3. Kinerja" sheetId="3" r:id="rId4"/>
    <sheet name="4. Disiplin" sheetId="5" r:id="rId5"/>
    <sheet name="Cetak IPP" sheetId="7" r:id="rId6"/>
    <sheet name="CATATAN" sheetId="6" r:id="rId7"/>
    <sheet name="tombol" sheetId="8" r:id="rId8"/>
    <sheet name="Sheet1" sheetId="10" r:id="rId9"/>
  </sheets>
  <definedNames>
    <definedName name="_xlnm.Print_Area" localSheetId="1">'1. Kompetensi '!$A$1:$S$73</definedName>
    <definedName name="_xlnm.Print_Titles" localSheetId="1">'1. Kompetensi '!$5:$6</definedName>
    <definedName name="Tmb_yes">tombol!$A$1:$A$2</definedName>
    <definedName name="Tombol">tombol!$A$1:$A$2</definedName>
  </definedNames>
  <calcPr calcId="144525"/>
</workbook>
</file>

<file path=xl/calcChain.xml><?xml version="1.0" encoding="utf-8"?>
<calcChain xmlns="http://schemas.openxmlformats.org/spreadsheetml/2006/main">
  <c r="E5" i="2" l="1"/>
  <c r="E6" i="2"/>
  <c r="E7" i="2"/>
  <c r="D6" i="2"/>
  <c r="D7" i="2"/>
  <c r="D5" i="2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C7" i="5"/>
  <c r="C6" i="5"/>
  <c r="C5" i="5"/>
  <c r="P30" i="9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5" i="3"/>
  <c r="D4" i="10"/>
  <c r="S70" i="1"/>
  <c r="B6" i="2" l="1"/>
  <c r="B7" i="2"/>
  <c r="B5" i="2"/>
  <c r="A2" i="7"/>
  <c r="I5" i="3"/>
  <c r="B56" i="9"/>
  <c r="A3" i="7" s="1"/>
  <c r="Q56" i="9"/>
  <c r="P54" i="9" s="1"/>
  <c r="B55" i="9"/>
  <c r="A3" i="1" s="1"/>
  <c r="G28" i="9"/>
  <c r="F28" i="9"/>
  <c r="E28" i="9"/>
  <c r="E14" i="9"/>
  <c r="P31" i="9" s="1"/>
  <c r="R73" i="1"/>
  <c r="R72" i="1"/>
  <c r="O73" i="1"/>
  <c r="O72" i="1"/>
  <c r="L73" i="1"/>
  <c r="L72" i="1"/>
  <c r="I73" i="1"/>
  <c r="I72" i="1"/>
  <c r="E72" i="1"/>
  <c r="B18" i="7" s="1"/>
  <c r="S71" i="1"/>
  <c r="C7" i="7" s="1"/>
  <c r="M1" i="8"/>
  <c r="D7" i="5"/>
  <c r="D6" i="5"/>
  <c r="D5" i="5"/>
  <c r="D8" i="5" l="1"/>
  <c r="F7" i="2"/>
  <c r="G7" i="2" s="1"/>
  <c r="F6" i="2"/>
  <c r="G6" i="2" s="1"/>
  <c r="J30" i="3"/>
  <c r="J31" i="3" s="1"/>
  <c r="D4" i="3" s="1"/>
  <c r="C9" i="7" s="1"/>
  <c r="A3" i="5"/>
  <c r="A4" i="7"/>
  <c r="C8" i="5"/>
  <c r="B9" i="2"/>
  <c r="A3" i="2"/>
  <c r="A3" i="3" s="1"/>
  <c r="F5" i="2"/>
  <c r="G5" i="2" s="1"/>
  <c r="B16" i="7"/>
  <c r="B15" i="7"/>
  <c r="B17" i="7"/>
  <c r="B14" i="7"/>
  <c r="D9" i="5" l="1"/>
  <c r="C10" i="7" s="1"/>
  <c r="G9" i="2"/>
  <c r="C8" i="7" s="1"/>
  <c r="C11" i="7" s="1"/>
</calcChain>
</file>

<file path=xl/sharedStrings.xml><?xml version="1.0" encoding="utf-8"?>
<sst xmlns="http://schemas.openxmlformats.org/spreadsheetml/2006/main" count="153" uniqueCount="119">
  <si>
    <t>No.</t>
  </si>
  <si>
    <t xml:space="preserve"> Jabatan </t>
  </si>
  <si>
    <t>Nama Pejabat</t>
  </si>
  <si>
    <t xml:space="preserve">Pengalaman </t>
  </si>
  <si>
    <t>Gaps</t>
  </si>
  <si>
    <t xml:space="preserve">Metode  Penghitungan Kompetensi </t>
  </si>
  <si>
    <t xml:space="preserve">Tertinggi </t>
  </si>
  <si>
    <t xml:space="preserve">Selisih  </t>
  </si>
  <si>
    <t xml:space="preserve">Total </t>
  </si>
  <si>
    <t xml:space="preserve">Metode Penghitungan Disiplin </t>
  </si>
  <si>
    <t>No</t>
  </si>
  <si>
    <t xml:space="preserve">Jenis Pelanggaran </t>
  </si>
  <si>
    <t xml:space="preserve">Jumlah </t>
  </si>
  <si>
    <t xml:space="preserve">Berat </t>
  </si>
  <si>
    <t xml:space="preserve">Sedang </t>
  </si>
  <si>
    <t xml:space="preserve">Ringan </t>
  </si>
  <si>
    <t xml:space="preserve">Metode Penghitungan Kinerja </t>
  </si>
  <si>
    <t xml:space="preserve">Rata Rata Kinerja (SKP) </t>
  </si>
  <si>
    <t xml:space="preserve">Fungsi </t>
  </si>
  <si>
    <t>Pendidikan</t>
  </si>
  <si>
    <t xml:space="preserve">Pelatihan </t>
  </si>
  <si>
    <t xml:space="preserve">Administrasi </t>
  </si>
  <si>
    <t>Y</t>
  </si>
  <si>
    <t>N</t>
  </si>
  <si>
    <t>NIP</t>
  </si>
  <si>
    <t xml:space="preserve">*Penilaian Objektif </t>
  </si>
  <si>
    <t>Diklat Administrasi = Diklat Kepemimpinan (LATPIM), dll</t>
  </si>
  <si>
    <t>A</t>
  </si>
  <si>
    <t>B</t>
  </si>
  <si>
    <t>- Pendidikan = Pendidikan formal (PF)</t>
  </si>
  <si>
    <t>- Pelatihan = Pelatihan yang pernah diikuti (LAT)</t>
  </si>
  <si>
    <t>- Pengalaman = Jabatan yang pernah diduduki (LAM)</t>
  </si>
  <si>
    <t xml:space="preserve">*Catatan: </t>
  </si>
  <si>
    <t>* Yes = Jika semua A Yes dan B Yes</t>
  </si>
  <si>
    <t>* Yes = Jika salah satu A Yes dan B Yes</t>
  </si>
  <si>
    <t>* No = Jika semua atau salah satu A No dan B Yes</t>
  </si>
  <si>
    <t>* No = Jika semua atau salah satu A Yes dan B No</t>
  </si>
  <si>
    <t>* No = Jika semua atau salah satu A No dan B No</t>
  </si>
  <si>
    <t>Jabatan</t>
  </si>
  <si>
    <t>Nilai SKP</t>
  </si>
  <si>
    <t>Jumlah Pejabat</t>
  </si>
  <si>
    <t>Jumlah</t>
  </si>
  <si>
    <t xml:space="preserve"> Selisih terhadap Terendah </t>
  </si>
  <si>
    <t>Nilai</t>
  </si>
  <si>
    <t>Unsur Penilaian</t>
  </si>
  <si>
    <t xml:space="preserve">Kinerja </t>
  </si>
  <si>
    <t>C</t>
  </si>
  <si>
    <t>D</t>
  </si>
  <si>
    <t>= (25 x (1 - A)) + (25 x (1 -B)) + ((25 x C)/100) + (25 x (1 - D))</t>
  </si>
  <si>
    <t xml:space="preserve">IPP </t>
  </si>
  <si>
    <t xml:space="preserve">Indeks Profesional Pegawai (IPP) </t>
  </si>
  <si>
    <t xml:space="preserve">Rumus: </t>
  </si>
  <si>
    <t xml:space="preserve"> Indeks Profesional Pegawai (IPP)</t>
  </si>
  <si>
    <t>Metode Penghitungan Kompensasi</t>
  </si>
  <si>
    <t>Rata-rata</t>
  </si>
  <si>
    <t>Pelanggaran</t>
  </si>
  <si>
    <t>Terendah</t>
  </si>
  <si>
    <t xml:space="preserve">Gap Kompetensi </t>
  </si>
  <si>
    <t>Gap Kompensasi</t>
  </si>
  <si>
    <t>Indisipliner</t>
  </si>
  <si>
    <t>Y / N</t>
  </si>
  <si>
    <t>Kosong</t>
  </si>
  <si>
    <t>Catatan:</t>
  </si>
  <si>
    <t>Eselon</t>
  </si>
  <si>
    <t>II</t>
  </si>
  <si>
    <t>III</t>
  </si>
  <si>
    <t>IV</t>
  </si>
  <si>
    <t>Total Pegawai</t>
  </si>
  <si>
    <r>
      <rPr>
        <b/>
        <sz val="12"/>
        <color theme="1"/>
        <rFont val="Calibri"/>
        <family val="2"/>
        <scheme val="minor"/>
      </rPr>
      <t>TIDAK DIANJURKAN</t>
    </r>
    <r>
      <rPr>
        <sz val="12"/>
        <color theme="1"/>
        <rFont val="Calibri"/>
        <family val="2"/>
        <scheme val="minor"/>
      </rPr>
      <t xml:space="preserve"> mengubah pengaturan tabel penghitungan IPASN ini tanpa konfirmasi dengan BKPSDMD terlebih dulu</t>
    </r>
  </si>
  <si>
    <t>DATA UNIT KERJA</t>
  </si>
  <si>
    <t>4. CAPAIAN KINERJA PEGAWAI TAHUN 2016</t>
  </si>
  <si>
    <t xml:space="preserve">PENGHITUNGAN INDEKS PROFESIONALITAS APARATUR SIPIL NEGARA </t>
  </si>
  <si>
    <t>Jabatan *)</t>
  </si>
  <si>
    <t>Nilai P2KP</t>
  </si>
  <si>
    <t>ORGANISASI</t>
  </si>
  <si>
    <t>:</t>
  </si>
  <si>
    <t>PEMERINTAH KABUPATEN BANGKA</t>
  </si>
  <si>
    <t>UNIT KERJA</t>
  </si>
  <si>
    <t>TAHUN</t>
  </si>
  <si>
    <t>1. JUMLAH JABATAN *)</t>
  </si>
  <si>
    <t>ESELON II</t>
  </si>
  <si>
    <t>ESELON III</t>
  </si>
  <si>
    <t>ESELON IV</t>
  </si>
  <si>
    <t xml:space="preserve">JUMLAH </t>
  </si>
  <si>
    <t>2. DATA TUNJANGAN PERBAIKAN PENGHASILAN (BUKAN GAJI)</t>
  </si>
  <si>
    <t>ESELON</t>
  </si>
  <si>
    <t>TERTINGGI</t>
  </si>
  <si>
    <t>TERENDAH</t>
  </si>
  <si>
    <t>3. JUMLAH PEJABAT STRUKTURAL YANG DIJATUHI HUKUMAN DISIPLIN</t>
  </si>
  <si>
    <t>BERAT</t>
  </si>
  <si>
    <t>SEDANG</t>
  </si>
  <si>
    <t>RINGAN</t>
  </si>
  <si>
    <t>*) Jumlah jabatan pada angka 1 dan 4 harus sama</t>
  </si>
  <si>
    <r>
      <t xml:space="preserve">Jika terdapat Jabatan yang kosong, nama jabatan tetap diisi, </t>
    </r>
    <r>
      <rPr>
        <b/>
        <sz val="12"/>
        <color theme="1"/>
        <rFont val="Calibri"/>
        <family val="2"/>
        <scheme val="minor"/>
      </rPr>
      <t>Nilai P2KP</t>
    </r>
    <r>
      <rPr>
        <sz val="12"/>
        <color theme="1"/>
        <rFont val="Calibri"/>
        <family val="2"/>
        <scheme val="minor"/>
      </rPr>
      <t xml:space="preserve"> diisi dengan angka 0</t>
    </r>
  </si>
  <si>
    <t>JUMLAH</t>
  </si>
  <si>
    <t>DISUSUN DI</t>
  </si>
  <si>
    <t>Sungailiat</t>
  </si>
  <si>
    <t>TANGGAL</t>
  </si>
  <si>
    <t>Kepala BKPSDM Daerah</t>
  </si>
  <si>
    <t>Kerpala BKPSDMD</t>
  </si>
  <si>
    <t>**) CATATAN</t>
  </si>
  <si>
    <t>Petunjuk pengisian:</t>
  </si>
  <si>
    <t xml:space="preserve">    a. Nama Jabatan sesuai Perda tentang SOTK OPD masing-masing</t>
  </si>
  <si>
    <t xml:space="preserve">    b. Fungsi jabatan sesuai Peraturan Bupati Bangka tentang penjabaran Tugas/Fungsi OPD </t>
  </si>
  <si>
    <r>
      <t xml:space="preserve">        sebanyak maksimum 3 (tiga) yang menjadi </t>
    </r>
    <r>
      <rPr>
        <b/>
        <i/>
        <sz val="12"/>
        <color theme="1"/>
        <rFont val="Calibri"/>
        <family val="2"/>
        <scheme val="minor"/>
      </rPr>
      <t>core business</t>
    </r>
    <r>
      <rPr>
        <sz val="12"/>
        <color theme="1"/>
        <rFont val="Calibri"/>
        <family val="2"/>
        <scheme val="minor"/>
      </rPr>
      <t xml:space="preserve"> jabatan</t>
    </r>
  </si>
  <si>
    <t xml:space="preserve">    c. Nama pejabat, NIP sesuai kolom yang disediakan</t>
  </si>
  <si>
    <t xml:space="preserve">    d. Pendidikan (contoh S1 Ilmu Hukum)</t>
  </si>
  <si>
    <t xml:space="preserve">    e. Pelatihan Teknis. (tuliskan jenis pelatihan teknis yang pernah diikuti s.d Tahun 2016)</t>
  </si>
  <si>
    <t xml:space="preserve">        maksimum 3 (tiga) nama pelatihan (Contoh: Diklat SAKIP/Lakip, TOT, MOT, dll)</t>
  </si>
  <si>
    <t xml:space="preserve">     f. Pengalaman. (Tuliskan pengalaman kerja/jabatan yang pernah dijabat sebelumnya)</t>
  </si>
  <si>
    <t xml:space="preserve">         maksimum 3 (tiga) jabatan sebelumnya</t>
  </si>
  <si>
    <t xml:space="preserve">     g. Administrasi atau Diklatpim; Tuliskan Diklatpim II/III/IV sesuai jabatannya</t>
  </si>
  <si>
    <t xml:space="preserve">         Contoh: Agus saat ini menjabat sebagai Kepala Bidang Sistem Informasi, </t>
  </si>
  <si>
    <r>
      <t xml:space="preserve">         pada kolom Administrasi diisi </t>
    </r>
    <r>
      <rPr>
        <b/>
        <sz val="12"/>
        <color theme="1"/>
        <rFont val="Calibri"/>
        <family val="2"/>
        <scheme val="minor"/>
      </rPr>
      <t>Diklatpim III</t>
    </r>
  </si>
  <si>
    <t>3. Penentuan Yes/No akan dilakukan oleh BKPSDMD</t>
  </si>
  <si>
    <t xml:space="preserve">diisi nama Unit Kerja </t>
  </si>
  <si>
    <r>
      <t xml:space="preserve">1. Kasubbag Umum / Pegelola Kepegawaian mengisi data kepegawaian terlebih dulu dari tab </t>
    </r>
    <r>
      <rPr>
        <b/>
        <i/>
        <sz val="12"/>
        <color theme="1"/>
        <rFont val="Calibri"/>
        <family val="2"/>
        <scheme val="minor"/>
      </rPr>
      <t>Data Unit Kerja (tab kuning)</t>
    </r>
  </si>
  <si>
    <t>2. Kasubbag Umum SKPD / Pengelola Kepegawaian mengisi data tab Kompetensi berdasarkan peta jabatan dengan komponen-komponen:</t>
  </si>
  <si>
    <t>disdik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</si>
</sst>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&quot;-&quot;_);_(@_)"/>
    <numFmt numFmtId="166" formatCode="[=0]&quot;Yes&quot;;[=1]&quot;No&quot;"/>
    <numFmt numFmtId="167" formatCode="[=0]&quot;Y&quot;;[=1]&quot;N&quot;"/>
    <numFmt numFmtId="168" formatCode="yyyy"/>
    <numFmt numFmtId="169" formatCode="dd\ mmmm\ yyyy"/>
  </numFmts>
  <fonts count="28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Arial"/>
      <family val="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/>
  </cellStyleXfs>
  <cellXfs count="149">
    <xf numFmtId="0" fontId="0" fillId="0" borderId="0" xfId="0"/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6" fillId="2" borderId="9" xfId="0" applyFont="1" applyFill="1" applyBorder="1" applyAlignment="1">
      <alignment horizontal="left" vertical="center" wrapText="1" readingOrder="1"/>
    </xf>
    <xf numFmtId="0" fontId="7" fillId="0" borderId="0" xfId="0" applyFont="1"/>
    <xf numFmtId="0" fontId="6" fillId="3" borderId="10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9" fillId="0" borderId="0" xfId="0" applyFont="1" applyBorder="1" applyAlignment="1"/>
    <xf numFmtId="0" fontId="1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right" vertical="center" wrapText="1" readingOrder="1"/>
    </xf>
    <xf numFmtId="0" fontId="2" fillId="2" borderId="12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quotePrefix="1"/>
    <xf numFmtId="0" fontId="2" fillId="2" borderId="12" xfId="0" quotePrefix="1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0" fontId="11" fillId="4" borderId="1" xfId="0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2" borderId="12" xfId="0" applyFont="1" applyFill="1" applyBorder="1" applyAlignment="1">
      <alignment vertical="top" wrapText="1"/>
    </xf>
    <xf numFmtId="2" fontId="13" fillId="6" borderId="0" xfId="0" applyNumberFormat="1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2" fontId="0" fillId="0" borderId="1" xfId="0" applyNumberFormat="1" applyBorder="1"/>
    <xf numFmtId="0" fontId="14" fillId="0" borderId="0" xfId="0" quotePrefix="1" applyFont="1"/>
    <xf numFmtId="2" fontId="14" fillId="0" borderId="1" xfId="0" applyNumberFormat="1" applyFont="1" applyBorder="1" applyAlignment="1">
      <alignment vertical="center"/>
    </xf>
    <xf numFmtId="0" fontId="15" fillId="0" borderId="0" xfId="0" applyFont="1" applyAlignment="1"/>
    <xf numFmtId="165" fontId="14" fillId="0" borderId="1" xfId="0" applyNumberFormat="1" applyFont="1" applyBorder="1"/>
    <xf numFmtId="0" fontId="1" fillId="3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4" fillId="7" borderId="1" xfId="0" applyFont="1" applyFill="1" applyBorder="1" applyAlignment="1">
      <alignment horizontal="center" vertical="center"/>
    </xf>
    <xf numFmtId="0" fontId="9" fillId="0" borderId="13" xfId="0" applyFont="1" applyBorder="1" applyAlignment="1"/>
    <xf numFmtId="0" fontId="15" fillId="0" borderId="0" xfId="0" applyFont="1" applyAlignment="1">
      <alignment horizontal="center"/>
    </xf>
    <xf numFmtId="2" fontId="2" fillId="2" borderId="9" xfId="0" applyNumberFormat="1" applyFont="1" applyFill="1" applyBorder="1" applyAlignment="1">
      <alignment vertical="top" wrapText="1"/>
    </xf>
    <xf numFmtId="0" fontId="11" fillId="4" borderId="2" xfId="0" applyFont="1" applyFill="1" applyBorder="1" applyAlignment="1">
      <alignment horizontal="center" vertical="center" wrapText="1" readingOrder="1"/>
    </xf>
    <xf numFmtId="0" fontId="0" fillId="0" borderId="0" xfId="0"/>
    <xf numFmtId="0" fontId="2" fillId="2" borderId="12" xfId="0" quotePrefix="1" applyFont="1" applyFill="1" applyBorder="1" applyAlignment="1">
      <alignment vertical="top" wrapText="1"/>
    </xf>
    <xf numFmtId="0" fontId="14" fillId="0" borderId="0" xfId="0" applyFont="1"/>
    <xf numFmtId="0" fontId="16" fillId="4" borderId="1" xfId="0" applyFont="1" applyFill="1" applyBorder="1" applyAlignment="1">
      <alignment horizontal="center" vertical="center" wrapText="1" readingOrder="1"/>
    </xf>
    <xf numFmtId="2" fontId="2" fillId="8" borderId="12" xfId="2" applyNumberFormat="1" applyFont="1" applyFill="1" applyBorder="1" applyAlignment="1">
      <alignment horizontal="center" vertical="top" wrapText="1"/>
    </xf>
    <xf numFmtId="0" fontId="5" fillId="0" borderId="0" xfId="3"/>
    <xf numFmtId="1" fontId="5" fillId="0" borderId="0" xfId="3" applyNumberFormat="1"/>
    <xf numFmtId="0" fontId="5" fillId="9" borderId="0" xfId="3" applyFill="1"/>
    <xf numFmtId="0" fontId="17" fillId="7" borderId="0" xfId="3" applyFont="1" applyFill="1"/>
    <xf numFmtId="1" fontId="17" fillId="7" borderId="0" xfId="3" applyNumberFormat="1" applyFont="1" applyFill="1"/>
    <xf numFmtId="0" fontId="14" fillId="9" borderId="0" xfId="3" applyFont="1" applyFill="1"/>
    <xf numFmtId="167" fontId="14" fillId="9" borderId="0" xfId="3" applyNumberFormat="1" applyFont="1" applyFill="1"/>
    <xf numFmtId="167" fontId="18" fillId="10" borderId="0" xfId="3" applyNumberFormat="1" applyFont="1" applyFill="1" applyAlignment="1">
      <alignment horizontal="center" vertical="top"/>
    </xf>
    <xf numFmtId="166" fontId="17" fillId="0" borderId="0" xfId="3" applyNumberFormat="1" applyFont="1"/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right" vertical="top" wrapText="1"/>
    </xf>
    <xf numFmtId="0" fontId="11" fillId="4" borderId="1" xfId="0" applyFont="1" applyFill="1" applyBorder="1" applyAlignment="1">
      <alignment horizontal="center" vertical="center" wrapText="1" readingOrder="1"/>
    </xf>
    <xf numFmtId="0" fontId="2" fillId="2" borderId="17" xfId="0" quotePrefix="1" applyFont="1" applyFill="1" applyBorder="1" applyAlignment="1">
      <alignment vertical="top" wrapText="1"/>
    </xf>
    <xf numFmtId="0" fontId="7" fillId="0" borderId="0" xfId="0" applyFont="1" applyBorder="1" applyAlignment="1">
      <alignment horizontal="left"/>
    </xf>
    <xf numFmtId="0" fontId="18" fillId="0" borderId="0" xfId="0" applyFont="1"/>
    <xf numFmtId="0" fontId="10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7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8" fontId="7" fillId="0" borderId="0" xfId="0" applyNumberFormat="1" applyFont="1"/>
    <xf numFmtId="0" fontId="7" fillId="0" borderId="0" xfId="0" applyFont="1" applyBorder="1"/>
    <xf numFmtId="0" fontId="7" fillId="0" borderId="1" xfId="0" applyFont="1" applyBorder="1" applyAlignment="1">
      <alignment horizontal="center"/>
    </xf>
    <xf numFmtId="41" fontId="7" fillId="0" borderId="1" xfId="0" applyNumberFormat="1" applyFont="1" applyBorder="1" applyAlignment="1">
      <alignment horizontal="center"/>
    </xf>
    <xf numFmtId="41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41" fontId="7" fillId="0" borderId="1" xfId="0" applyNumberFormat="1" applyFont="1" applyBorder="1" applyAlignment="1">
      <alignment horizontal="center" vertical="center"/>
    </xf>
    <xf numFmtId="41" fontId="7" fillId="0" borderId="0" xfId="0" applyNumberFormat="1" applyFont="1" applyBorder="1"/>
    <xf numFmtId="169" fontId="7" fillId="0" borderId="0" xfId="0" applyNumberFormat="1" applyFont="1"/>
    <xf numFmtId="0" fontId="22" fillId="0" borderId="0" xfId="0" applyFont="1"/>
    <xf numFmtId="0" fontId="23" fillId="0" borderId="0" xfId="0" applyFont="1"/>
    <xf numFmtId="0" fontId="14" fillId="0" borderId="1" xfId="0" applyNumberFormat="1" applyFont="1" applyBorder="1"/>
    <xf numFmtId="4" fontId="1" fillId="2" borderId="9" xfId="1" applyNumberFormat="1" applyFont="1" applyFill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top" wrapText="1"/>
    </xf>
    <xf numFmtId="0" fontId="2" fillId="2" borderId="15" xfId="0" applyFont="1" applyFill="1" applyBorder="1" applyAlignment="1">
      <alignment horizontal="right" vertical="top" wrapText="1"/>
    </xf>
    <xf numFmtId="0" fontId="11" fillId="4" borderId="3" xfId="0" applyFont="1" applyFill="1" applyBorder="1" applyAlignment="1">
      <alignment horizontal="center" vertical="center" wrapText="1" readingOrder="1"/>
    </xf>
    <xf numFmtId="0" fontId="11" fillId="4" borderId="4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 readingOrder="1"/>
    </xf>
    <xf numFmtId="0" fontId="11" fillId="4" borderId="5" xfId="0" applyFont="1" applyFill="1" applyBorder="1" applyAlignment="1">
      <alignment horizontal="center" vertical="center" wrapText="1" readingOrder="1"/>
    </xf>
    <xf numFmtId="0" fontId="11" fillId="4" borderId="6" xfId="0" applyFont="1" applyFill="1" applyBorder="1" applyAlignment="1">
      <alignment horizontal="center" vertical="center" wrapText="1" readingOrder="1"/>
    </xf>
    <xf numFmtId="0" fontId="11" fillId="4" borderId="7" xfId="0" applyFont="1" applyFill="1" applyBorder="1" applyAlignment="1">
      <alignment horizontal="center" vertical="center" wrapText="1" readingOrder="1"/>
    </xf>
    <xf numFmtId="0" fontId="11" fillId="4" borderId="8" xfId="0" applyFont="1" applyFill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43" fontId="20" fillId="7" borderId="3" xfId="0" applyNumberFormat="1" applyFont="1" applyFill="1" applyBorder="1" applyAlignment="1">
      <alignment horizontal="center" vertical="center"/>
    </xf>
    <xf numFmtId="43" fontId="20" fillId="7" borderId="4" xfId="0" applyNumberFormat="1" applyFont="1" applyFill="1" applyBorder="1" applyAlignment="1">
      <alignment horizontal="center" vertical="center"/>
    </xf>
    <xf numFmtId="43" fontId="20" fillId="7" borderId="2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" fillId="13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vertical="top" wrapText="1"/>
    </xf>
    <xf numFmtId="164" fontId="2" fillId="13" borderId="1" xfId="1" applyFont="1" applyFill="1" applyBorder="1" applyAlignment="1">
      <alignment horizontal="right" vertical="top" wrapText="1"/>
    </xf>
    <xf numFmtId="164" fontId="2" fillId="13" borderId="1" xfId="1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center" wrapText="1" readingOrder="1"/>
    </xf>
    <xf numFmtId="0" fontId="26" fillId="2" borderId="1" xfId="0" applyFont="1" applyFill="1" applyBorder="1" applyAlignment="1">
      <alignment vertical="top" wrapText="1"/>
    </xf>
    <xf numFmtId="164" fontId="26" fillId="2" borderId="1" xfId="1" applyFont="1" applyFill="1" applyBorder="1" applyAlignment="1">
      <alignment vertical="top" wrapText="1"/>
    </xf>
    <xf numFmtId="0" fontId="24" fillId="0" borderId="0" xfId="0" applyFont="1"/>
    <xf numFmtId="0" fontId="24" fillId="0" borderId="0" xfId="0" applyFont="1" applyAlignment="1">
      <alignment horizontal="left"/>
    </xf>
    <xf numFmtId="0" fontId="27" fillId="0" borderId="1" xfId="0" applyFont="1" applyFill="1" applyBorder="1" applyAlignment="1">
      <alignment horizontal="center" vertical="top" wrapText="1"/>
    </xf>
    <xf numFmtId="164" fontId="2" fillId="13" borderId="1" xfId="1" applyNumberFormat="1" applyFont="1" applyFill="1" applyBorder="1" applyAlignment="1">
      <alignment vertical="top" wrapText="1"/>
    </xf>
    <xf numFmtId="164" fontId="26" fillId="2" borderId="1" xfId="1" applyNumberFormat="1" applyFont="1" applyFill="1" applyBorder="1" applyAlignment="1">
      <alignment vertical="top" wrapText="1"/>
    </xf>
    <xf numFmtId="41" fontId="2" fillId="13" borderId="1" xfId="2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center" vertical="top" wrapText="1"/>
    </xf>
    <xf numFmtId="41" fontId="1" fillId="3" borderId="10" xfId="0" applyNumberFormat="1" applyFont="1" applyFill="1" applyBorder="1" applyAlignment="1">
      <alignment horizontal="right" vertical="center" wrapText="1"/>
    </xf>
    <xf numFmtId="4" fontId="1" fillId="3" borderId="10" xfId="1" applyNumberFormat="1" applyFont="1" applyFill="1" applyBorder="1" applyAlignment="1">
      <alignment horizontal="right" vertical="center" wrapText="1"/>
    </xf>
    <xf numFmtId="41" fontId="1" fillId="2" borderId="9" xfId="0" applyNumberFormat="1" applyFont="1" applyFill="1" applyBorder="1" applyAlignment="1">
      <alignment horizontal="right" vertical="center" wrapText="1"/>
    </xf>
    <xf numFmtId="4" fontId="1" fillId="2" borderId="9" xfId="1" applyNumberFormat="1" applyFont="1" applyFill="1" applyBorder="1" applyAlignment="1">
      <alignment horizontal="right" vertical="center" wrapText="1"/>
    </xf>
    <xf numFmtId="41" fontId="1" fillId="3" borderId="9" xfId="0" applyNumberFormat="1" applyFont="1" applyFill="1" applyBorder="1" applyAlignment="1">
      <alignment horizontal="right" vertical="center" wrapText="1"/>
    </xf>
    <xf numFmtId="4" fontId="1" fillId="3" borderId="9" xfId="1" applyNumberFormat="1" applyFont="1" applyFill="1" applyBorder="1" applyAlignment="1">
      <alignment horizontal="right" vertical="center" wrapText="1"/>
    </xf>
    <xf numFmtId="0" fontId="1" fillId="3" borderId="9" xfId="0" applyFont="1" applyFill="1" applyBorder="1" applyAlignment="1">
      <alignment horizontal="right" vertical="center" wrapText="1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2724150</xdr:colOff>
      <xdr:row>18</xdr:row>
      <xdr:rowOff>19050</xdr:rowOff>
    </xdr:from>
    <xdr:ext cx="1933863" cy="1642373"/>
    <xdr:sp macro="" textlink="">
      <xdr:nvSpPr>
        <xdr:cNvPr id="2" name="TextBox 1">
          <a:extLst>
            <a:ext uri="{FF2B5EF4-FFF2-40B4-BE49-F238E27FC236}"/>
          </a:extLst>
        </xdr:cNvPr>
        <xdr:cNvSpPr txBox="1"/>
      </xdr:nvSpPr>
      <xdr:spPr>
        <a:xfrm>
          <a:off x="3152775" y="3810000"/>
          <a:ext cx="1933863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Jakarta, </a:t>
          </a:r>
          <a:r>
            <a:rPr lang="en-US" sz="1100" baseline="0"/>
            <a:t>   </a:t>
          </a:r>
          <a:r>
            <a:rPr lang="en-US" sz="1100"/>
            <a:t>                            2016</a:t>
          </a:r>
        </a:p>
        <a:p>
          <a:r>
            <a:rPr lang="en-US" sz="1100"/>
            <a:t>Kepala</a:t>
          </a:r>
          <a:r>
            <a:rPr lang="en-US" sz="1100" baseline="0"/>
            <a:t>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-</a:t>
          </a:r>
        </a:p>
        <a:p>
          <a:r>
            <a:rPr lang="en-US" sz="1100" baseline="0"/>
            <a:t>Nip. -</a:t>
          </a:r>
        </a:p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14</xdr:row>
      <xdr:rowOff>47625</xdr:rowOff>
    </xdr:from>
    <xdr:ext cx="5446812" cy="436786"/>
    <xdr:sp macro="" textlink="">
      <xdr:nvSpPr>
        <xdr:cNvPr id="2" name="TextBox 1">
          <a:extLst>
            <a:ext uri="{FF2B5EF4-FFF2-40B4-BE49-F238E27FC236}"/>
          </a:extLst>
        </xdr:cNvPr>
        <xdr:cNvSpPr txBox="1"/>
      </xdr:nvSpPr>
      <xdr:spPr>
        <a:xfrm>
          <a:off x="952500" y="2724150"/>
          <a:ext cx="5446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IPP Biro Perencanaan diperoleh 88,17. Hal ini disebabkan adanya 5 pejabat struktural  </a:t>
          </a:r>
          <a:endParaRPr lang="id-ID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pengawai Biro Perencanaan yang belum Diklat PIM dan 1 jabatan struktural yang kosong</a:t>
          </a:r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59"/>
  <sheetViews>
    <sheetView tabSelected="1" workbookViewId="0">
      <selection activeCell="E19" sqref="E19"/>
    </sheetView>
  </sheetViews>
  <sheetFormatPr defaultRowHeight="15" x14ac:dyDescent="0.25"/>
  <cols>
    <col min="3" max="3" width="15.5703125" customWidth="1"/>
    <col min="4" max="4" width="2.85546875" customWidth="1"/>
    <col min="5" max="5" width="13.42578125" customWidth="1"/>
    <col min="6" max="6" width="13.85546875" customWidth="1"/>
    <col min="15" max="15" width="47.85546875" customWidth="1"/>
    <col min="16" max="16" width="15.42578125" customWidth="1"/>
  </cols>
  <sheetData>
    <row r="1" spans="1:16" s="47" customFormat="1" ht="32.25" customHeight="1" x14ac:dyDescent="0.25">
      <c r="A1" s="89" t="s">
        <v>68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 s="47" customFormat="1" ht="15.75" x14ac:dyDescent="0.25">
      <c r="B2" s="4"/>
      <c r="C2" s="4"/>
      <c r="D2" s="4"/>
      <c r="E2" s="4"/>
      <c r="F2" s="4"/>
      <c r="G2" s="4"/>
      <c r="H2" s="4"/>
      <c r="I2" s="4"/>
    </row>
    <row r="3" spans="1:16" s="47" customFormat="1" ht="15.75" x14ac:dyDescent="0.25">
      <c r="B3" s="4" t="s">
        <v>69</v>
      </c>
      <c r="C3" s="4"/>
      <c r="D3" s="4"/>
      <c r="E3" s="4"/>
      <c r="F3" s="4"/>
      <c r="G3" s="4"/>
      <c r="H3" s="4"/>
      <c r="I3" s="4"/>
      <c r="N3" s="66" t="s">
        <v>70</v>
      </c>
      <c r="O3" s="66"/>
      <c r="P3" s="4"/>
    </row>
    <row r="4" spans="1:16" s="47" customFormat="1" ht="18.75" x14ac:dyDescent="0.3">
      <c r="B4" s="67" t="s">
        <v>71</v>
      </c>
      <c r="C4" s="4"/>
      <c r="D4" s="4"/>
      <c r="E4" s="4"/>
      <c r="F4" s="4"/>
      <c r="G4" s="4"/>
      <c r="H4" s="4"/>
      <c r="I4" s="4"/>
      <c r="N4" s="68" t="s">
        <v>10</v>
      </c>
      <c r="O4" s="68" t="s">
        <v>72</v>
      </c>
      <c r="P4" s="69" t="s">
        <v>73</v>
      </c>
    </row>
    <row r="5" spans="1:16" s="47" customFormat="1" ht="24" customHeight="1" x14ac:dyDescent="0.25">
      <c r="B5" s="4"/>
      <c r="C5" s="4"/>
      <c r="D5" s="4"/>
      <c r="E5" s="4"/>
      <c r="F5" s="4"/>
      <c r="G5" s="4"/>
      <c r="H5" s="4"/>
      <c r="I5" s="4"/>
      <c r="N5" s="70">
        <v>1</v>
      </c>
      <c r="O5" s="71"/>
      <c r="P5" s="72">
        <v>80</v>
      </c>
    </row>
    <row r="6" spans="1:16" s="47" customFormat="1" ht="24" customHeight="1" x14ac:dyDescent="0.25">
      <c r="B6" s="4" t="s">
        <v>74</v>
      </c>
      <c r="C6" s="4"/>
      <c r="D6" s="4" t="s">
        <v>75</v>
      </c>
      <c r="E6" s="4" t="s">
        <v>76</v>
      </c>
      <c r="F6" s="4"/>
      <c r="G6" s="4"/>
      <c r="H6" s="4"/>
      <c r="I6" s="4"/>
      <c r="N6" s="70">
        <v>2</v>
      </c>
      <c r="O6" s="73"/>
      <c r="P6" s="72">
        <v>80</v>
      </c>
    </row>
    <row r="7" spans="1:16" s="47" customFormat="1" ht="24" customHeight="1" x14ac:dyDescent="0.25">
      <c r="B7" s="4" t="s">
        <v>77</v>
      </c>
      <c r="C7" s="4"/>
      <c r="D7" s="4" t="s">
        <v>75</v>
      </c>
      <c r="E7" s="86" t="s">
        <v>115</v>
      </c>
      <c r="F7" s="4"/>
      <c r="G7" s="4"/>
      <c r="H7" s="4"/>
      <c r="I7" s="4"/>
      <c r="N7" s="70">
        <v>3</v>
      </c>
      <c r="O7" s="73"/>
      <c r="P7" s="72">
        <v>80</v>
      </c>
    </row>
    <row r="8" spans="1:16" s="47" customFormat="1" ht="34.5" customHeight="1" x14ac:dyDescent="0.25">
      <c r="B8" s="4" t="s">
        <v>78</v>
      </c>
      <c r="C8" s="4"/>
      <c r="D8" s="4" t="s">
        <v>75</v>
      </c>
      <c r="E8" s="74">
        <v>42422</v>
      </c>
      <c r="F8" s="4"/>
      <c r="G8" s="4"/>
      <c r="H8" s="4"/>
      <c r="I8" s="4"/>
      <c r="N8" s="70">
        <v>4</v>
      </c>
      <c r="O8" s="73"/>
      <c r="P8" s="72">
        <v>80</v>
      </c>
    </row>
    <row r="9" spans="1:16" s="47" customFormat="1" ht="24" customHeight="1" x14ac:dyDescent="0.25">
      <c r="B9" s="4"/>
      <c r="C9" s="4"/>
      <c r="D9" s="4"/>
      <c r="E9" s="4"/>
      <c r="F9" s="4"/>
      <c r="G9" s="4"/>
      <c r="H9" s="4"/>
      <c r="I9" s="4"/>
      <c r="N9" s="70">
        <v>5</v>
      </c>
      <c r="O9" s="73"/>
      <c r="P9" s="72">
        <v>80</v>
      </c>
    </row>
    <row r="10" spans="1:16" s="47" customFormat="1" ht="24" customHeight="1" x14ac:dyDescent="0.25">
      <c r="B10" s="4" t="s">
        <v>79</v>
      </c>
      <c r="C10" s="4"/>
      <c r="D10" s="4" t="s">
        <v>75</v>
      </c>
      <c r="E10" s="4"/>
      <c r="F10" s="4"/>
      <c r="G10" s="75"/>
      <c r="H10" s="75"/>
      <c r="I10" s="4"/>
      <c r="N10" s="70">
        <v>6</v>
      </c>
      <c r="O10" s="73"/>
      <c r="P10" s="72">
        <v>80</v>
      </c>
    </row>
    <row r="11" spans="1:16" s="47" customFormat="1" ht="31.5" customHeight="1" x14ac:dyDescent="0.25">
      <c r="B11" s="75" t="s">
        <v>80</v>
      </c>
      <c r="C11" s="75"/>
      <c r="D11" s="75" t="s">
        <v>75</v>
      </c>
      <c r="E11" s="75">
        <v>1</v>
      </c>
      <c r="F11" s="4"/>
      <c r="G11" s="75"/>
      <c r="H11" s="75"/>
      <c r="I11" s="4"/>
      <c r="N11" s="70">
        <v>7</v>
      </c>
      <c r="O11" s="73"/>
      <c r="P11" s="72">
        <v>80</v>
      </c>
    </row>
    <row r="12" spans="1:16" s="47" customFormat="1" ht="24" customHeight="1" x14ac:dyDescent="0.25">
      <c r="B12" s="75" t="s">
        <v>81</v>
      </c>
      <c r="C12" s="75"/>
      <c r="D12" s="75" t="s">
        <v>75</v>
      </c>
      <c r="E12" s="75">
        <v>6</v>
      </c>
      <c r="F12" s="4"/>
      <c r="G12" s="75"/>
      <c r="H12" s="75"/>
      <c r="I12" s="4"/>
      <c r="N12" s="70">
        <v>8</v>
      </c>
      <c r="O12" s="73"/>
      <c r="P12" s="72">
        <v>80</v>
      </c>
    </row>
    <row r="13" spans="1:16" s="47" customFormat="1" ht="24" customHeight="1" x14ac:dyDescent="0.25">
      <c r="B13" s="75" t="s">
        <v>82</v>
      </c>
      <c r="C13" s="75"/>
      <c r="D13" s="75" t="s">
        <v>75</v>
      </c>
      <c r="E13" s="75">
        <v>18</v>
      </c>
      <c r="F13" s="4"/>
      <c r="G13" s="75"/>
      <c r="H13" s="75"/>
      <c r="I13" s="4"/>
      <c r="N13" s="70">
        <v>9</v>
      </c>
      <c r="O13" s="73"/>
      <c r="P13" s="72">
        <v>80</v>
      </c>
    </row>
    <row r="14" spans="1:16" s="47" customFormat="1" ht="24" customHeight="1" x14ac:dyDescent="0.25">
      <c r="B14" s="90" t="s">
        <v>83</v>
      </c>
      <c r="C14" s="90"/>
      <c r="D14" s="75" t="s">
        <v>75</v>
      </c>
      <c r="E14" s="75">
        <f>SUM(E11:E13)</f>
        <v>25</v>
      </c>
      <c r="F14" s="4"/>
      <c r="G14" s="75"/>
      <c r="H14" s="75"/>
      <c r="I14" s="4"/>
      <c r="N14" s="70">
        <v>10</v>
      </c>
      <c r="O14" s="73"/>
      <c r="P14" s="72">
        <v>80</v>
      </c>
    </row>
    <row r="15" spans="1:16" s="47" customFormat="1" ht="24" customHeight="1" x14ac:dyDescent="0.25">
      <c r="B15" s="4"/>
      <c r="C15" s="4"/>
      <c r="D15" s="4"/>
      <c r="E15" s="4"/>
      <c r="F15" s="4"/>
      <c r="G15" s="4"/>
      <c r="H15" s="4"/>
      <c r="I15" s="4"/>
      <c r="N15" s="70">
        <v>11</v>
      </c>
      <c r="O15" s="73"/>
      <c r="P15" s="72">
        <v>80</v>
      </c>
    </row>
    <row r="16" spans="1:16" s="47" customFormat="1" ht="24" customHeight="1" x14ac:dyDescent="0.25">
      <c r="B16" s="4" t="s">
        <v>84</v>
      </c>
      <c r="C16" s="4"/>
      <c r="D16" s="4"/>
      <c r="E16" s="4"/>
      <c r="F16" s="4"/>
      <c r="G16" s="4"/>
      <c r="H16" s="4"/>
      <c r="I16" s="4"/>
      <c r="N16" s="70">
        <v>12</v>
      </c>
      <c r="O16" s="25"/>
      <c r="P16" s="72">
        <v>80</v>
      </c>
    </row>
    <row r="17" spans="2:19" s="47" customFormat="1" ht="24" customHeight="1" x14ac:dyDescent="0.25">
      <c r="B17" s="4"/>
      <c r="C17" s="4"/>
      <c r="D17" s="4"/>
      <c r="E17" s="4"/>
      <c r="F17" s="4"/>
      <c r="G17" s="4"/>
      <c r="H17" s="4"/>
      <c r="I17" s="4"/>
      <c r="N17" s="70">
        <v>13</v>
      </c>
      <c r="O17" s="25"/>
      <c r="P17" s="72">
        <v>80</v>
      </c>
    </row>
    <row r="18" spans="2:19" s="47" customFormat="1" ht="24" customHeight="1" x14ac:dyDescent="0.25">
      <c r="B18" s="91" t="s">
        <v>85</v>
      </c>
      <c r="C18" s="92"/>
      <c r="D18" s="93"/>
      <c r="E18" s="76" t="s">
        <v>86</v>
      </c>
      <c r="F18" s="76" t="s">
        <v>87</v>
      </c>
      <c r="G18" s="4"/>
      <c r="H18" s="4"/>
      <c r="I18" s="4"/>
      <c r="N18" s="70">
        <v>14</v>
      </c>
      <c r="O18" s="25"/>
      <c r="P18" s="72">
        <v>80</v>
      </c>
    </row>
    <row r="19" spans="2:19" s="47" customFormat="1" ht="24" customHeight="1" x14ac:dyDescent="0.25">
      <c r="B19" s="94" t="s">
        <v>80</v>
      </c>
      <c r="C19" s="95"/>
      <c r="D19" s="96"/>
      <c r="E19" s="77">
        <v>4000000</v>
      </c>
      <c r="F19" s="77">
        <v>4000000</v>
      </c>
      <c r="G19" s="4"/>
      <c r="H19" s="4"/>
      <c r="I19" s="4"/>
      <c r="N19" s="70">
        <v>15</v>
      </c>
      <c r="O19" s="25"/>
      <c r="P19" s="72">
        <v>80</v>
      </c>
    </row>
    <row r="20" spans="2:19" s="47" customFormat="1" ht="24" customHeight="1" x14ac:dyDescent="0.25">
      <c r="B20" s="94" t="s">
        <v>81</v>
      </c>
      <c r="C20" s="95"/>
      <c r="D20" s="96"/>
      <c r="E20" s="78">
        <v>2500000</v>
      </c>
      <c r="F20" s="78">
        <v>2450000</v>
      </c>
      <c r="G20" s="4"/>
      <c r="H20" s="4"/>
      <c r="I20" s="4"/>
      <c r="N20" s="70">
        <v>16</v>
      </c>
      <c r="O20" s="25"/>
      <c r="P20" s="72">
        <v>80</v>
      </c>
    </row>
    <row r="21" spans="2:19" s="47" customFormat="1" ht="24" customHeight="1" x14ac:dyDescent="0.25">
      <c r="B21" s="94" t="s">
        <v>82</v>
      </c>
      <c r="C21" s="95"/>
      <c r="D21" s="96"/>
      <c r="E21" s="78">
        <v>2000000</v>
      </c>
      <c r="F21" s="78">
        <v>1750000</v>
      </c>
      <c r="G21" s="4"/>
      <c r="H21" s="4"/>
      <c r="I21" s="4"/>
      <c r="N21" s="70">
        <v>17</v>
      </c>
      <c r="O21" s="25"/>
      <c r="P21" s="72">
        <v>80</v>
      </c>
    </row>
    <row r="22" spans="2:19" s="47" customFormat="1" ht="24" customHeight="1" x14ac:dyDescent="0.25">
      <c r="B22" s="4"/>
      <c r="C22" s="4"/>
      <c r="D22" s="4"/>
      <c r="E22" s="4"/>
      <c r="F22" s="4"/>
      <c r="G22" s="4"/>
      <c r="H22" s="4"/>
      <c r="I22" s="4"/>
      <c r="N22" s="70">
        <v>18</v>
      </c>
      <c r="O22" s="25"/>
      <c r="P22" s="72">
        <v>80</v>
      </c>
    </row>
    <row r="23" spans="2:19" s="47" customFormat="1" ht="23.25" customHeight="1" x14ac:dyDescent="0.25">
      <c r="B23" s="4" t="s">
        <v>88</v>
      </c>
      <c r="C23" s="4"/>
      <c r="D23" s="4"/>
      <c r="E23" s="4"/>
      <c r="F23" s="4"/>
      <c r="G23" s="4"/>
      <c r="H23" s="4"/>
      <c r="I23" s="4"/>
      <c r="N23" s="70">
        <v>19</v>
      </c>
      <c r="O23" s="25"/>
      <c r="P23" s="72">
        <v>80</v>
      </c>
    </row>
    <row r="24" spans="2:19" s="47" customFormat="1" ht="23.25" customHeight="1" x14ac:dyDescent="0.25">
      <c r="B24" s="101" t="s">
        <v>85</v>
      </c>
      <c r="C24" s="101"/>
      <c r="D24" s="101"/>
      <c r="E24" s="79" t="s">
        <v>89</v>
      </c>
      <c r="F24" s="79" t="s">
        <v>90</v>
      </c>
      <c r="G24" s="79" t="s">
        <v>91</v>
      </c>
      <c r="H24" s="4"/>
      <c r="I24" s="4"/>
      <c r="N24" s="70">
        <v>20</v>
      </c>
      <c r="O24" s="25"/>
      <c r="P24" s="72">
        <v>80</v>
      </c>
    </row>
    <row r="25" spans="2:19" s="47" customFormat="1" ht="23.25" customHeight="1" x14ac:dyDescent="0.25">
      <c r="B25" s="97" t="s">
        <v>80</v>
      </c>
      <c r="C25" s="97"/>
      <c r="D25" s="97"/>
      <c r="E25" s="82">
        <v>0</v>
      </c>
      <c r="F25" s="82">
        <v>0</v>
      </c>
      <c r="G25" s="82">
        <v>1</v>
      </c>
      <c r="H25" s="4"/>
      <c r="I25" s="4"/>
      <c r="N25" s="70">
        <v>21</v>
      </c>
      <c r="O25" s="25"/>
      <c r="P25" s="72">
        <v>80</v>
      </c>
    </row>
    <row r="26" spans="2:19" s="47" customFormat="1" ht="23.25" customHeight="1" x14ac:dyDescent="0.25">
      <c r="B26" s="97" t="s">
        <v>81</v>
      </c>
      <c r="C26" s="97"/>
      <c r="D26" s="97"/>
      <c r="E26" s="82">
        <v>0</v>
      </c>
      <c r="F26" s="82">
        <v>0</v>
      </c>
      <c r="G26" s="82">
        <v>1</v>
      </c>
      <c r="H26" s="4"/>
      <c r="I26" s="4"/>
      <c r="N26" s="70">
        <v>22</v>
      </c>
      <c r="O26" s="25"/>
      <c r="P26" s="72">
        <v>80</v>
      </c>
    </row>
    <row r="27" spans="2:19" s="47" customFormat="1" ht="23.25" customHeight="1" x14ac:dyDescent="0.25">
      <c r="B27" s="97" t="s">
        <v>82</v>
      </c>
      <c r="C27" s="97"/>
      <c r="D27" s="97"/>
      <c r="E27" s="82">
        <v>0</v>
      </c>
      <c r="F27" s="82">
        <v>0</v>
      </c>
      <c r="G27" s="82">
        <v>1</v>
      </c>
      <c r="H27" s="4"/>
      <c r="I27" s="4"/>
      <c r="N27" s="70">
        <v>23</v>
      </c>
      <c r="O27" s="73"/>
      <c r="P27" s="72">
        <v>80</v>
      </c>
    </row>
    <row r="28" spans="2:19" s="47" customFormat="1" ht="23.25" customHeight="1" x14ac:dyDescent="0.25">
      <c r="B28" s="98" t="s">
        <v>94</v>
      </c>
      <c r="C28" s="98"/>
      <c r="D28" s="98"/>
      <c r="E28" s="78">
        <f>SUM(E25:E27)</f>
        <v>0</v>
      </c>
      <c r="F28" s="78">
        <f>SUM(F25:F27)</f>
        <v>0</v>
      </c>
      <c r="G28" s="78">
        <f>SUM(G25:G27)</f>
        <v>3</v>
      </c>
      <c r="H28" s="4"/>
      <c r="I28" s="4"/>
      <c r="N28" s="70">
        <v>24</v>
      </c>
      <c r="O28" s="73"/>
      <c r="P28" s="72">
        <v>80</v>
      </c>
    </row>
    <row r="29" spans="2:19" ht="23.25" customHeight="1" x14ac:dyDescent="0.25">
      <c r="N29" s="70">
        <v>25</v>
      </c>
      <c r="O29" s="73"/>
      <c r="P29" s="72">
        <v>80</v>
      </c>
    </row>
    <row r="30" spans="2:19" ht="23.25" customHeight="1" x14ac:dyDescent="0.25">
      <c r="N30" s="99" t="s">
        <v>41</v>
      </c>
      <c r="O30" s="99"/>
      <c r="P30" s="72">
        <f>SUM(P5:P29)</f>
        <v>2000</v>
      </c>
    </row>
    <row r="31" spans="2:19" s="47" customFormat="1" ht="23.25" customHeight="1" x14ac:dyDescent="0.25">
      <c r="C31" s="4"/>
      <c r="H31" s="4"/>
      <c r="I31" s="4"/>
      <c r="N31" s="100" t="s">
        <v>54</v>
      </c>
      <c r="O31" s="100"/>
      <c r="P31" s="72">
        <f>P30/E14</f>
        <v>80</v>
      </c>
      <c r="Q31" s="84"/>
      <c r="R31" s="4"/>
      <c r="S31" s="4"/>
    </row>
    <row r="32" spans="2:19" s="47" customFormat="1" ht="15.75" x14ac:dyDescent="0.25">
      <c r="B32" s="4"/>
      <c r="C32" s="4"/>
      <c r="H32" s="4"/>
      <c r="I32" s="4"/>
      <c r="Q32" s="84"/>
      <c r="R32" s="4"/>
      <c r="S32" s="4"/>
    </row>
    <row r="33" spans="1:18" s="47" customFormat="1" ht="15.75" x14ac:dyDescent="0.25">
      <c r="B33" s="4"/>
      <c r="D33" s="4"/>
      <c r="E33" s="4"/>
      <c r="F33" s="4"/>
      <c r="G33" s="4"/>
      <c r="H33" s="4"/>
      <c r="I33" s="4"/>
      <c r="N33" s="80" t="s">
        <v>92</v>
      </c>
      <c r="O33" s="80"/>
      <c r="P33" s="81"/>
      <c r="Q33" s="4"/>
      <c r="R33" s="4"/>
    </row>
    <row r="34" spans="1:18" s="47" customFormat="1" ht="15.75" x14ac:dyDescent="0.25">
      <c r="A34" s="4" t="s">
        <v>100</v>
      </c>
      <c r="B34" s="4"/>
      <c r="C34" s="4"/>
      <c r="D34" s="4"/>
      <c r="E34" s="4"/>
      <c r="F34" s="4"/>
      <c r="G34" s="4"/>
      <c r="H34" s="4"/>
      <c r="I34" s="4"/>
      <c r="N34" s="102" t="s">
        <v>93</v>
      </c>
      <c r="O34" s="102"/>
      <c r="P34" s="102"/>
      <c r="Q34" s="4"/>
      <c r="R34" s="4"/>
    </row>
    <row r="35" spans="1:18" s="47" customFormat="1" ht="15.75" x14ac:dyDescent="0.25">
      <c r="A35" s="4" t="s">
        <v>101</v>
      </c>
      <c r="C35" s="4"/>
      <c r="H35" s="4"/>
      <c r="I35" s="4"/>
      <c r="N35" s="102"/>
      <c r="O35" s="102"/>
      <c r="P35" s="102"/>
      <c r="Q35" s="4"/>
      <c r="R35" s="4"/>
    </row>
    <row r="36" spans="1:18" s="47" customFormat="1" ht="15.75" x14ac:dyDescent="0.25">
      <c r="A36" s="4" t="s">
        <v>116</v>
      </c>
      <c r="H36" s="4"/>
      <c r="I36" s="4"/>
      <c r="P36" s="4"/>
      <c r="Q36" s="4"/>
      <c r="R36" s="4"/>
    </row>
    <row r="37" spans="1:18" s="47" customFormat="1" ht="15.75" x14ac:dyDescent="0.25">
      <c r="A37" s="4" t="s">
        <v>117</v>
      </c>
      <c r="H37" s="4"/>
      <c r="I37" s="4"/>
      <c r="P37" s="4"/>
      <c r="Q37" s="4"/>
      <c r="R37" s="4"/>
    </row>
    <row r="38" spans="1:18" s="47" customFormat="1" ht="15.75" x14ac:dyDescent="0.25">
      <c r="A38" s="4" t="s">
        <v>102</v>
      </c>
      <c r="H38" s="4"/>
      <c r="I38" s="4"/>
      <c r="P38" s="4"/>
      <c r="Q38" s="4"/>
      <c r="R38" s="4"/>
    </row>
    <row r="39" spans="1:18" s="47" customFormat="1" ht="15.75" x14ac:dyDescent="0.25">
      <c r="A39" s="4" t="s">
        <v>103</v>
      </c>
      <c r="H39" s="4"/>
      <c r="I39" s="4"/>
      <c r="P39" s="4"/>
      <c r="Q39" s="4"/>
      <c r="R39" s="4"/>
    </row>
    <row r="40" spans="1:18" s="47" customFormat="1" ht="15.75" x14ac:dyDescent="0.25">
      <c r="A40" s="4" t="s">
        <v>104</v>
      </c>
      <c r="H40" s="4"/>
      <c r="I40" s="4"/>
      <c r="P40" s="4"/>
      <c r="Q40" s="4"/>
      <c r="R40" s="4"/>
    </row>
    <row r="41" spans="1:18" s="47" customFormat="1" ht="15.75" x14ac:dyDescent="0.25">
      <c r="A41" s="4" t="s">
        <v>105</v>
      </c>
      <c r="D41" s="4"/>
      <c r="E41" s="4"/>
      <c r="F41" s="4"/>
      <c r="G41" s="4"/>
      <c r="H41" s="4"/>
      <c r="I41" s="4"/>
    </row>
    <row r="42" spans="1:18" s="47" customFormat="1" ht="15.75" x14ac:dyDescent="0.25">
      <c r="A42" s="4" t="s">
        <v>106</v>
      </c>
      <c r="C42" s="4"/>
      <c r="D42" s="4"/>
      <c r="E42" s="4"/>
      <c r="F42" s="4"/>
      <c r="G42" s="4"/>
      <c r="H42" s="4"/>
      <c r="I42" s="4"/>
      <c r="O42" s="4"/>
    </row>
    <row r="43" spans="1:18" s="47" customFormat="1" ht="15.75" x14ac:dyDescent="0.25">
      <c r="A43" s="4" t="s">
        <v>107</v>
      </c>
      <c r="B43" s="4"/>
      <c r="C43" s="4"/>
      <c r="D43" s="4"/>
      <c r="E43" s="4"/>
      <c r="F43" s="4"/>
      <c r="G43" s="4"/>
      <c r="H43" s="4"/>
      <c r="I43" s="4"/>
      <c r="O43" s="4"/>
    </row>
    <row r="44" spans="1:18" s="47" customFormat="1" ht="15.75" x14ac:dyDescent="0.25">
      <c r="A44" s="4" t="s">
        <v>108</v>
      </c>
      <c r="B44" s="4"/>
      <c r="C44" s="4"/>
      <c r="D44" s="4"/>
      <c r="E44" s="4"/>
      <c r="F44" s="4"/>
      <c r="G44" s="4"/>
      <c r="H44" s="4"/>
      <c r="I44" s="4"/>
      <c r="O44" s="4"/>
    </row>
    <row r="45" spans="1:18" s="47" customFormat="1" ht="15.75" x14ac:dyDescent="0.25">
      <c r="A45" s="4" t="s">
        <v>109</v>
      </c>
      <c r="B45" s="4"/>
      <c r="C45" s="4"/>
      <c r="D45" s="4"/>
      <c r="E45" s="4"/>
      <c r="F45" s="4"/>
      <c r="G45" s="4"/>
      <c r="H45" s="4"/>
      <c r="I45" s="4"/>
      <c r="O45" s="4"/>
    </row>
    <row r="46" spans="1:18" s="47" customFormat="1" ht="15.75" x14ac:dyDescent="0.25">
      <c r="A46" s="4" t="s">
        <v>110</v>
      </c>
      <c r="B46" s="4"/>
      <c r="C46" s="4"/>
      <c r="D46" s="4"/>
      <c r="E46" s="4"/>
      <c r="F46" s="4"/>
      <c r="G46" s="4"/>
      <c r="H46" s="4"/>
      <c r="I46" s="4"/>
      <c r="O46" s="4"/>
    </row>
    <row r="47" spans="1:18" s="47" customFormat="1" ht="15.75" x14ac:dyDescent="0.25">
      <c r="A47" s="4" t="s">
        <v>111</v>
      </c>
      <c r="C47" s="4"/>
      <c r="D47" s="4"/>
      <c r="E47" s="4"/>
      <c r="F47" s="4"/>
      <c r="G47" s="4"/>
      <c r="H47" s="4"/>
      <c r="I47" s="4"/>
    </row>
    <row r="48" spans="1:18" s="47" customFormat="1" ht="15.75" x14ac:dyDescent="0.25">
      <c r="A48" s="4" t="s">
        <v>112</v>
      </c>
      <c r="B48" s="4"/>
      <c r="C48" s="4"/>
      <c r="D48" s="4"/>
      <c r="E48" s="4"/>
      <c r="F48" s="4"/>
      <c r="G48" s="4"/>
      <c r="H48" s="4"/>
      <c r="I48" s="4"/>
    </row>
    <row r="49" spans="1:19" s="47" customFormat="1" ht="15.75" x14ac:dyDescent="0.25">
      <c r="A49" s="4" t="s">
        <v>113</v>
      </c>
      <c r="B49" s="4"/>
      <c r="C49" s="4"/>
      <c r="D49" s="4"/>
      <c r="E49" s="4"/>
      <c r="F49" s="4"/>
      <c r="G49" s="4"/>
      <c r="H49" s="4"/>
      <c r="I49" s="4"/>
    </row>
    <row r="50" spans="1:19" s="47" customFormat="1" ht="21" x14ac:dyDescent="0.35">
      <c r="A50" s="85" t="s">
        <v>114</v>
      </c>
      <c r="B50" s="4"/>
      <c r="C50" s="4"/>
      <c r="D50" s="4"/>
      <c r="E50" s="4"/>
      <c r="F50" s="4"/>
      <c r="G50" s="4"/>
      <c r="H50" s="4"/>
      <c r="I50" s="4"/>
    </row>
    <row r="51" spans="1:19" s="47" customFormat="1" ht="15.75" x14ac:dyDescent="0.25">
      <c r="B51" s="4"/>
      <c r="C51" s="4"/>
      <c r="D51" s="4"/>
      <c r="E51" s="4"/>
      <c r="F51" s="4"/>
      <c r="G51" s="4"/>
      <c r="H51" s="4"/>
      <c r="I51" s="4"/>
    </row>
    <row r="52" spans="1:19" s="47" customFormat="1" ht="15.75" x14ac:dyDescent="0.25">
      <c r="B52" s="4"/>
      <c r="C52" s="4"/>
      <c r="D52" s="4"/>
      <c r="E52" s="4"/>
      <c r="F52" s="4"/>
      <c r="G52" s="4"/>
      <c r="H52" s="4"/>
      <c r="I52" s="4"/>
    </row>
    <row r="53" spans="1:19" s="47" customFormat="1" ht="15.75" x14ac:dyDescent="0.25">
      <c r="B53" s="4"/>
      <c r="C53" s="4"/>
      <c r="D53" s="4"/>
      <c r="E53" s="4"/>
      <c r="F53" s="4"/>
      <c r="G53" s="4"/>
      <c r="H53" s="4"/>
      <c r="I53" s="4"/>
    </row>
    <row r="54" spans="1:19" s="47" customFormat="1" ht="15.75" x14ac:dyDescent="0.25">
      <c r="B54" s="66"/>
      <c r="C54" s="66"/>
      <c r="D54" s="66"/>
      <c r="E54" s="83"/>
      <c r="F54" s="83"/>
      <c r="G54" s="4"/>
      <c r="H54" s="4"/>
      <c r="I54" s="4"/>
      <c r="P54" s="4" t="str">
        <f ca="1">Q55&amp; ",  "&amp;TEXT(Q56,"dd mmmm yyyy")</f>
        <v>Sungailiat,  26 Februari 2017</v>
      </c>
    </row>
    <row r="55" spans="1:19" s="47" customFormat="1" ht="15.75" x14ac:dyDescent="0.25">
      <c r="B55" s="4" t="str">
        <f>CONCATENATE(B7,"  : ", TEXT(E7,".............................................."))</f>
        <v xml:space="preserve">UNIT KERJA  : diisi nama Unit Kerja </v>
      </c>
      <c r="C55" s="4"/>
      <c r="D55" s="4"/>
      <c r="E55" s="4"/>
      <c r="F55" s="4"/>
      <c r="G55" s="4"/>
      <c r="H55" s="4"/>
      <c r="I55" s="4"/>
      <c r="N55" s="4" t="s">
        <v>95</v>
      </c>
      <c r="O55" s="4"/>
      <c r="P55" s="4"/>
      <c r="Q55" s="4" t="s">
        <v>96</v>
      </c>
      <c r="R55" s="4"/>
      <c r="S55" s="4"/>
    </row>
    <row r="56" spans="1:19" s="47" customFormat="1" ht="15.75" x14ac:dyDescent="0.25">
      <c r="B56" s="4" t="str">
        <f>CONCATENATE(B8," ", TEXT(E8,"YYYY"))</f>
        <v>TAHUN 2016</v>
      </c>
      <c r="C56" s="4"/>
      <c r="D56" s="4"/>
      <c r="E56" s="4"/>
      <c r="F56" s="4"/>
      <c r="G56" s="4"/>
      <c r="H56" s="4"/>
      <c r="I56" s="4"/>
      <c r="N56" s="4" t="s">
        <v>97</v>
      </c>
      <c r="O56" s="4"/>
      <c r="P56" s="4" t="s">
        <v>98</v>
      </c>
      <c r="Q56" s="84">
        <f ca="1">TODAY()</f>
        <v>42792</v>
      </c>
      <c r="R56" s="4"/>
      <c r="S56" s="4"/>
    </row>
    <row r="57" spans="1:19" s="47" customFormat="1" ht="15.75" x14ac:dyDescent="0.25">
      <c r="B57" s="4"/>
      <c r="C57" s="4"/>
      <c r="H57" s="4"/>
      <c r="I57" s="4"/>
      <c r="N57" s="4"/>
      <c r="O57" s="4"/>
      <c r="P57" s="4" t="s">
        <v>99</v>
      </c>
      <c r="Q57" s="84"/>
      <c r="R57" s="4"/>
      <c r="S57" s="4"/>
    </row>
    <row r="58" spans="1:19" s="47" customFormat="1" ht="15.75" x14ac:dyDescent="0.25">
      <c r="C58" s="4"/>
      <c r="D58" s="4"/>
      <c r="E58" s="4"/>
      <c r="F58" s="4"/>
      <c r="G58" s="4"/>
      <c r="H58" s="4"/>
      <c r="I58" s="4"/>
    </row>
    <row r="59" spans="1:19" s="47" customFormat="1" ht="15.75" x14ac:dyDescent="0.25">
      <c r="C59" s="4"/>
      <c r="D59" s="4"/>
      <c r="E59" s="4"/>
      <c r="F59" s="4"/>
      <c r="G59" s="4"/>
      <c r="H59" s="4"/>
      <c r="I59" s="4"/>
      <c r="N59" s="4"/>
    </row>
  </sheetData>
  <mergeCells count="14">
    <mergeCell ref="B27:D27"/>
    <mergeCell ref="B28:D28"/>
    <mergeCell ref="B21:D21"/>
    <mergeCell ref="N30:O30"/>
    <mergeCell ref="N31:O31"/>
    <mergeCell ref="B24:D24"/>
    <mergeCell ref="B25:D25"/>
    <mergeCell ref="N34:P35"/>
    <mergeCell ref="B26:D26"/>
    <mergeCell ref="A1:P1"/>
    <mergeCell ref="B14:C14"/>
    <mergeCell ref="B18:D18"/>
    <mergeCell ref="B19:D19"/>
    <mergeCell ref="B20:D20"/>
  </mergeCells>
  <pageMargins left="0.7" right="0.7" top="0.75" bottom="0.75" header="0.3" footer="0.3"/>
  <pageSetup paperSize="256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74"/>
  <sheetViews>
    <sheetView view="pageBreakPreview" zoomScale="70" zoomScaleNormal="55" zoomScaleSheetLayoutView="70" workbookViewId="0">
      <pane ySplit="6" topLeftCell="A40" activePane="bottomLeft" state="frozen"/>
      <selection pane="bottomLeft" activeCell="E7" sqref="E7"/>
    </sheetView>
  </sheetViews>
  <sheetFormatPr defaultRowHeight="15" x14ac:dyDescent="0.25"/>
  <cols>
    <col min="1" max="1" width="7.7109375" style="1" customWidth="1"/>
    <col min="2" max="2" width="28.28515625" customWidth="1"/>
    <col min="3" max="3" width="5.5703125" style="15" customWidth="1"/>
    <col min="4" max="4" width="25.85546875" customWidth="1"/>
    <col min="5" max="5" width="22.85546875" bestFit="1" customWidth="1"/>
    <col min="6" max="6" width="28.42578125" bestFit="1" customWidth="1"/>
    <col min="7" max="7" width="4.5703125" customWidth="1"/>
    <col min="8" max="8" width="22.5703125" customWidth="1"/>
    <col min="9" max="9" width="7.28515625" bestFit="1" customWidth="1"/>
    <col min="10" max="10" width="5" customWidth="1"/>
    <col min="11" max="11" width="20.85546875" customWidth="1"/>
    <col min="12" max="12" width="7.28515625" style="15" bestFit="1" customWidth="1"/>
    <col min="13" max="13" width="6.5703125" style="15" customWidth="1"/>
    <col min="14" max="14" width="20.85546875" customWidth="1"/>
    <col min="15" max="15" width="7.28515625" style="15" bestFit="1" customWidth="1"/>
    <col min="16" max="16" width="6.5703125" customWidth="1"/>
    <col min="17" max="17" width="20.85546875" customWidth="1"/>
    <col min="18" max="18" width="7.28515625" style="15" bestFit="1" customWidth="1"/>
    <col min="19" max="19" width="15.28515625" customWidth="1"/>
  </cols>
  <sheetData>
    <row r="1" spans="1:19" x14ac:dyDescent="0.25">
      <c r="A1" s="14"/>
    </row>
    <row r="2" spans="1:19" ht="39.75" customHeight="1" x14ac:dyDescent="0.4">
      <c r="A2" s="109" t="s">
        <v>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39.75" customHeight="1" x14ac:dyDescent="0.5">
      <c r="A3" s="40" t="str">
        <f>'Data Unit kerja'!B55</f>
        <v xml:space="preserve">UNIT KERJA  : diisi nama Unit Kerja </v>
      </c>
      <c r="B3" s="35"/>
      <c r="C3" s="44"/>
      <c r="D3" s="35"/>
      <c r="E3" s="35"/>
      <c r="F3" s="35"/>
      <c r="G3" s="35"/>
      <c r="H3" s="35"/>
      <c r="I3" s="35"/>
      <c r="J3" s="35"/>
      <c r="K3" s="35"/>
      <c r="L3" s="44"/>
      <c r="M3" s="35"/>
      <c r="N3" s="35"/>
      <c r="O3" s="44"/>
      <c r="P3" s="35"/>
      <c r="Q3" s="35"/>
      <c r="R3" s="44"/>
      <c r="S3" s="35"/>
    </row>
    <row r="4" spans="1:19" s="47" customFormat="1" ht="18" customHeight="1" x14ac:dyDescent="0.5">
      <c r="A4" s="40"/>
      <c r="B4" s="35"/>
      <c r="C4" s="44"/>
      <c r="D4" s="35"/>
      <c r="E4" s="35"/>
      <c r="F4" s="35"/>
      <c r="G4" s="35"/>
      <c r="H4" s="35"/>
      <c r="I4" s="35"/>
      <c r="J4" s="35"/>
      <c r="K4" s="35"/>
      <c r="L4" s="44"/>
      <c r="M4" s="35"/>
      <c r="N4" s="35"/>
      <c r="O4" s="44"/>
      <c r="P4" s="35"/>
      <c r="Q4" s="35"/>
      <c r="R4" s="44"/>
      <c r="S4" s="35"/>
    </row>
    <row r="5" spans="1:19" ht="37.5" customHeight="1" x14ac:dyDescent="0.25">
      <c r="A5" s="110" t="s">
        <v>0</v>
      </c>
      <c r="B5" s="111" t="s">
        <v>1</v>
      </c>
      <c r="C5" s="112" t="s">
        <v>18</v>
      </c>
      <c r="D5" s="113"/>
      <c r="E5" s="111" t="s">
        <v>2</v>
      </c>
      <c r="F5" s="111" t="s">
        <v>24</v>
      </c>
      <c r="G5" s="106" t="s">
        <v>19</v>
      </c>
      <c r="H5" s="107"/>
      <c r="I5" s="108"/>
      <c r="J5" s="106" t="s">
        <v>20</v>
      </c>
      <c r="K5" s="107"/>
      <c r="L5" s="108"/>
      <c r="M5" s="106" t="s">
        <v>3</v>
      </c>
      <c r="N5" s="107"/>
      <c r="O5" s="108"/>
      <c r="P5" s="106" t="s">
        <v>21</v>
      </c>
      <c r="Q5" s="107"/>
      <c r="R5" s="108"/>
      <c r="S5" s="46" t="s">
        <v>25</v>
      </c>
    </row>
    <row r="6" spans="1:19" ht="18.75" x14ac:dyDescent="0.25">
      <c r="A6" s="110"/>
      <c r="B6" s="111"/>
      <c r="C6" s="114"/>
      <c r="D6" s="115"/>
      <c r="E6" s="111"/>
      <c r="F6" s="111"/>
      <c r="G6" s="106"/>
      <c r="H6" s="108"/>
      <c r="I6" s="50" t="s">
        <v>60</v>
      </c>
      <c r="J6" s="106"/>
      <c r="K6" s="108"/>
      <c r="L6" s="50" t="s">
        <v>60</v>
      </c>
      <c r="M6" s="106"/>
      <c r="N6" s="108"/>
      <c r="O6" s="50" t="s">
        <v>60</v>
      </c>
      <c r="P6" s="106"/>
      <c r="Q6" s="108"/>
      <c r="R6" s="50" t="s">
        <v>60</v>
      </c>
      <c r="S6" s="19" t="s">
        <v>4</v>
      </c>
    </row>
    <row r="7" spans="1:19" s="4" customFormat="1" ht="168" customHeight="1" thickBot="1" x14ac:dyDescent="0.3">
      <c r="A7" s="12"/>
      <c r="B7" s="11"/>
      <c r="C7" s="12">
        <v>1</v>
      </c>
      <c r="D7" s="11"/>
      <c r="E7" s="28"/>
      <c r="F7" s="48"/>
      <c r="G7" s="18"/>
      <c r="H7" s="11"/>
      <c r="I7" s="59"/>
      <c r="J7" s="12"/>
      <c r="K7" s="11"/>
      <c r="L7" s="59"/>
      <c r="M7" s="12"/>
      <c r="N7" s="11"/>
      <c r="O7" s="59"/>
      <c r="P7" s="12"/>
      <c r="Q7" s="65"/>
      <c r="R7" s="59"/>
      <c r="S7" s="51"/>
    </row>
    <row r="8" spans="1:19" s="4" customFormat="1" ht="168" customHeight="1" thickBot="1" x14ac:dyDescent="0.3">
      <c r="A8" s="12"/>
      <c r="B8" s="11"/>
      <c r="C8" s="12">
        <v>2</v>
      </c>
      <c r="D8" s="11"/>
      <c r="E8" s="28"/>
      <c r="F8" s="48"/>
      <c r="G8" s="18"/>
      <c r="H8" s="11"/>
      <c r="I8" s="59"/>
      <c r="J8" s="12"/>
      <c r="K8" s="11"/>
      <c r="L8" s="59"/>
      <c r="M8" s="12"/>
      <c r="N8" s="11"/>
      <c r="O8" s="59"/>
      <c r="P8" s="12"/>
      <c r="Q8" s="65"/>
      <c r="R8" s="59"/>
      <c r="S8" s="51"/>
    </row>
    <row r="9" spans="1:19" s="4" customFormat="1" ht="168" customHeight="1" thickBot="1" x14ac:dyDescent="0.3">
      <c r="A9" s="12"/>
      <c r="B9" s="11"/>
      <c r="C9" s="12">
        <v>3</v>
      </c>
      <c r="D9" s="11"/>
      <c r="E9" s="28"/>
      <c r="F9" s="48"/>
      <c r="G9" s="18"/>
      <c r="H9" s="11"/>
      <c r="I9" s="59"/>
      <c r="J9" s="12"/>
      <c r="K9" s="11"/>
      <c r="L9" s="59"/>
      <c r="M9" s="12"/>
      <c r="N9" s="11"/>
      <c r="O9" s="59"/>
      <c r="P9" s="12"/>
      <c r="Q9" s="65"/>
      <c r="R9" s="59"/>
      <c r="S9" s="51"/>
    </row>
    <row r="10" spans="1:19" s="4" customFormat="1" ht="168" customHeight="1" thickBot="1" x14ac:dyDescent="0.3">
      <c r="A10" s="12"/>
      <c r="B10" s="11"/>
      <c r="C10" s="12"/>
      <c r="D10" s="11"/>
      <c r="E10" s="28"/>
      <c r="F10" s="48"/>
      <c r="G10" s="18"/>
      <c r="H10" s="11"/>
      <c r="I10" s="59"/>
      <c r="J10" s="12"/>
      <c r="K10" s="11"/>
      <c r="L10" s="59"/>
      <c r="M10" s="12"/>
      <c r="N10" s="11"/>
      <c r="O10" s="59"/>
      <c r="P10" s="12"/>
      <c r="Q10" s="65"/>
      <c r="R10" s="59"/>
      <c r="S10" s="51"/>
    </row>
    <row r="11" spans="1:19" s="4" customFormat="1" ht="168" customHeight="1" thickBot="1" x14ac:dyDescent="0.3">
      <c r="A11" s="12"/>
      <c r="B11" s="11"/>
      <c r="C11" s="12"/>
      <c r="D11" s="11"/>
      <c r="E11" s="28"/>
      <c r="F11" s="48"/>
      <c r="G11" s="18"/>
      <c r="H11" s="11"/>
      <c r="I11" s="59"/>
      <c r="J11" s="12"/>
      <c r="K11" s="11"/>
      <c r="L11" s="59"/>
      <c r="M11" s="12"/>
      <c r="N11" s="11"/>
      <c r="O11" s="59"/>
      <c r="P11" s="12"/>
      <c r="Q11" s="65"/>
      <c r="R11" s="59"/>
      <c r="S11" s="51"/>
    </row>
    <row r="12" spans="1:19" s="4" customFormat="1" ht="168" customHeight="1" thickBot="1" x14ac:dyDescent="0.3">
      <c r="A12" s="12"/>
      <c r="B12" s="11"/>
      <c r="C12" s="12"/>
      <c r="D12" s="11"/>
      <c r="E12" s="28"/>
      <c r="F12" s="48"/>
      <c r="G12" s="18"/>
      <c r="H12" s="11"/>
      <c r="I12" s="59"/>
      <c r="J12" s="12"/>
      <c r="K12" s="11"/>
      <c r="L12" s="59"/>
      <c r="M12" s="12"/>
      <c r="N12" s="11"/>
      <c r="O12" s="59"/>
      <c r="P12" s="12"/>
      <c r="Q12" s="65"/>
      <c r="R12" s="59"/>
      <c r="S12" s="51"/>
    </row>
    <row r="13" spans="1:19" s="4" customFormat="1" ht="168" customHeight="1" thickBot="1" x14ac:dyDescent="0.3">
      <c r="A13" s="12"/>
      <c r="B13" s="11"/>
      <c r="C13" s="12"/>
      <c r="D13" s="11"/>
      <c r="E13" s="28"/>
      <c r="F13" s="48"/>
      <c r="G13" s="18"/>
      <c r="H13" s="11"/>
      <c r="I13" s="59"/>
      <c r="J13" s="12"/>
      <c r="K13" s="11"/>
      <c r="L13" s="59"/>
      <c r="M13" s="12"/>
      <c r="N13" s="11"/>
      <c r="O13" s="59"/>
      <c r="P13" s="12"/>
      <c r="Q13" s="65"/>
      <c r="R13" s="59"/>
      <c r="S13" s="51"/>
    </row>
    <row r="14" spans="1:19" s="4" customFormat="1" ht="168" customHeight="1" thickBot="1" x14ac:dyDescent="0.3">
      <c r="A14" s="12"/>
      <c r="B14" s="11"/>
      <c r="C14" s="12"/>
      <c r="D14" s="11"/>
      <c r="E14" s="28"/>
      <c r="F14" s="48"/>
      <c r="G14" s="18"/>
      <c r="H14" s="11"/>
      <c r="I14" s="59"/>
      <c r="J14" s="12"/>
      <c r="K14" s="11"/>
      <c r="L14" s="59"/>
      <c r="M14" s="12"/>
      <c r="N14" s="11"/>
      <c r="O14" s="59"/>
      <c r="P14" s="12"/>
      <c r="Q14" s="65"/>
      <c r="R14" s="59"/>
      <c r="S14" s="51"/>
    </row>
    <row r="15" spans="1:19" s="4" customFormat="1" ht="168" customHeight="1" thickBot="1" x14ac:dyDescent="0.3">
      <c r="A15" s="12"/>
      <c r="B15" s="11"/>
      <c r="C15" s="12"/>
      <c r="D15" s="11"/>
      <c r="E15" s="28"/>
      <c r="F15" s="48"/>
      <c r="G15" s="18"/>
      <c r="H15" s="11"/>
      <c r="I15" s="59"/>
      <c r="J15" s="12"/>
      <c r="K15" s="11"/>
      <c r="L15" s="59"/>
      <c r="M15" s="12"/>
      <c r="N15" s="11"/>
      <c r="O15" s="59"/>
      <c r="P15" s="12"/>
      <c r="Q15" s="65"/>
      <c r="R15" s="59"/>
      <c r="S15" s="51"/>
    </row>
    <row r="16" spans="1:19" s="4" customFormat="1" ht="168" customHeight="1" thickBot="1" x14ac:dyDescent="0.3">
      <c r="A16" s="12"/>
      <c r="B16" s="11"/>
      <c r="C16" s="12"/>
      <c r="D16" s="11"/>
      <c r="E16" s="28"/>
      <c r="F16" s="48"/>
      <c r="G16" s="18"/>
      <c r="H16" s="11"/>
      <c r="I16" s="59"/>
      <c r="J16" s="12"/>
      <c r="K16" s="11"/>
      <c r="L16" s="59"/>
      <c r="M16" s="12"/>
      <c r="N16" s="11"/>
      <c r="O16" s="59"/>
      <c r="P16" s="12"/>
      <c r="Q16" s="65"/>
      <c r="R16" s="59"/>
      <c r="S16" s="51"/>
    </row>
    <row r="17" spans="1:19" s="4" customFormat="1" ht="168" customHeight="1" thickBot="1" x14ac:dyDescent="0.3">
      <c r="A17" s="12"/>
      <c r="B17" s="11"/>
      <c r="C17" s="12"/>
      <c r="D17" s="11"/>
      <c r="E17" s="28"/>
      <c r="F17" s="48"/>
      <c r="G17" s="18"/>
      <c r="H17" s="11"/>
      <c r="I17" s="59"/>
      <c r="J17" s="12"/>
      <c r="K17" s="11"/>
      <c r="L17" s="59"/>
      <c r="M17" s="12"/>
      <c r="N17" s="11"/>
      <c r="O17" s="59"/>
      <c r="P17" s="12"/>
      <c r="Q17" s="65"/>
      <c r="R17" s="59"/>
      <c r="S17" s="51"/>
    </row>
    <row r="18" spans="1:19" s="4" customFormat="1" ht="168" customHeight="1" thickBot="1" x14ac:dyDescent="0.3">
      <c r="A18" s="12"/>
      <c r="B18" s="11"/>
      <c r="C18" s="12"/>
      <c r="D18" s="11"/>
      <c r="E18" s="28"/>
      <c r="F18" s="48"/>
      <c r="G18" s="18"/>
      <c r="H18" s="11"/>
      <c r="I18" s="59"/>
      <c r="J18" s="12"/>
      <c r="K18" s="11"/>
      <c r="L18" s="59"/>
      <c r="M18" s="12"/>
      <c r="N18" s="11"/>
      <c r="O18" s="59"/>
      <c r="P18" s="12"/>
      <c r="Q18" s="65"/>
      <c r="R18" s="59"/>
      <c r="S18" s="51"/>
    </row>
    <row r="19" spans="1:19" s="4" customFormat="1" ht="168" customHeight="1" thickBot="1" x14ac:dyDescent="0.3">
      <c r="A19" s="12"/>
      <c r="B19" s="11"/>
      <c r="C19" s="12"/>
      <c r="D19" s="11"/>
      <c r="E19" s="28"/>
      <c r="F19" s="48"/>
      <c r="G19" s="18"/>
      <c r="H19" s="11"/>
      <c r="I19" s="59"/>
      <c r="J19" s="12"/>
      <c r="K19" s="11"/>
      <c r="L19" s="59"/>
      <c r="M19" s="12"/>
      <c r="N19" s="11"/>
      <c r="O19" s="59"/>
      <c r="P19" s="12"/>
      <c r="Q19" s="65"/>
      <c r="R19" s="59"/>
      <c r="S19" s="51"/>
    </row>
    <row r="20" spans="1:19" s="4" customFormat="1" ht="168" customHeight="1" thickBot="1" x14ac:dyDescent="0.3">
      <c r="A20" s="12"/>
      <c r="B20" s="11"/>
      <c r="C20" s="12"/>
      <c r="D20" s="11"/>
      <c r="E20" s="28"/>
      <c r="F20" s="48"/>
      <c r="G20" s="18"/>
      <c r="H20" s="11"/>
      <c r="I20" s="59"/>
      <c r="J20" s="12"/>
      <c r="K20" s="11"/>
      <c r="L20" s="59"/>
      <c r="M20" s="12"/>
      <c r="N20" s="11"/>
      <c r="O20" s="59"/>
      <c r="P20" s="12"/>
      <c r="Q20" s="65"/>
      <c r="R20" s="59"/>
      <c r="S20" s="51"/>
    </row>
    <row r="21" spans="1:19" s="4" customFormat="1" ht="168" customHeight="1" thickBot="1" x14ac:dyDescent="0.3">
      <c r="A21" s="12"/>
      <c r="B21" s="11"/>
      <c r="C21" s="12"/>
      <c r="D21" s="11"/>
      <c r="E21" s="28"/>
      <c r="F21" s="48"/>
      <c r="G21" s="18"/>
      <c r="H21" s="11"/>
      <c r="I21" s="59"/>
      <c r="J21" s="12"/>
      <c r="K21" s="11"/>
      <c r="L21" s="59"/>
      <c r="M21" s="12"/>
      <c r="N21" s="11"/>
      <c r="O21" s="59"/>
      <c r="P21" s="12"/>
      <c r="Q21" s="65"/>
      <c r="R21" s="59"/>
      <c r="S21" s="51"/>
    </row>
    <row r="22" spans="1:19" s="4" customFormat="1" ht="168" customHeight="1" thickBot="1" x14ac:dyDescent="0.3">
      <c r="A22" s="12"/>
      <c r="B22" s="11"/>
      <c r="C22" s="12"/>
      <c r="D22" s="11"/>
      <c r="E22" s="28"/>
      <c r="F22" s="48"/>
      <c r="G22" s="18"/>
      <c r="H22" s="11"/>
      <c r="I22" s="59"/>
      <c r="J22" s="12"/>
      <c r="K22" s="11"/>
      <c r="L22" s="59"/>
      <c r="M22" s="12"/>
      <c r="N22" s="11"/>
      <c r="O22" s="59"/>
      <c r="P22" s="12"/>
      <c r="Q22" s="65"/>
      <c r="R22" s="59"/>
      <c r="S22" s="51"/>
    </row>
    <row r="23" spans="1:19" s="4" customFormat="1" ht="168" customHeight="1" thickBot="1" x14ac:dyDescent="0.3">
      <c r="A23" s="12"/>
      <c r="B23" s="11"/>
      <c r="C23" s="12"/>
      <c r="D23" s="11"/>
      <c r="E23" s="28"/>
      <c r="F23" s="48"/>
      <c r="G23" s="18"/>
      <c r="H23" s="11"/>
      <c r="I23" s="59"/>
      <c r="J23" s="12"/>
      <c r="K23" s="11"/>
      <c r="L23" s="59"/>
      <c r="M23" s="12"/>
      <c r="N23" s="11"/>
      <c r="O23" s="59"/>
      <c r="P23" s="12"/>
      <c r="Q23" s="65"/>
      <c r="R23" s="59"/>
      <c r="S23" s="51"/>
    </row>
    <row r="24" spans="1:19" s="4" customFormat="1" ht="168" customHeight="1" thickBot="1" x14ac:dyDescent="0.3">
      <c r="A24" s="12"/>
      <c r="B24" s="11"/>
      <c r="C24" s="12"/>
      <c r="D24" s="11"/>
      <c r="E24" s="28"/>
      <c r="F24" s="48"/>
      <c r="G24" s="18"/>
      <c r="H24" s="11"/>
      <c r="I24" s="59"/>
      <c r="J24" s="12"/>
      <c r="K24" s="11"/>
      <c r="L24" s="59"/>
      <c r="M24" s="12"/>
      <c r="N24" s="11"/>
      <c r="O24" s="59"/>
      <c r="P24" s="12"/>
      <c r="Q24" s="65"/>
      <c r="R24" s="59"/>
      <c r="S24" s="51"/>
    </row>
    <row r="25" spans="1:19" s="4" customFormat="1" ht="168" customHeight="1" thickBot="1" x14ac:dyDescent="0.3">
      <c r="A25" s="12"/>
      <c r="B25" s="11"/>
      <c r="C25" s="12"/>
      <c r="D25" s="11"/>
      <c r="E25" s="28"/>
      <c r="F25" s="48"/>
      <c r="G25" s="18"/>
      <c r="H25" s="11"/>
      <c r="I25" s="59"/>
      <c r="J25" s="12"/>
      <c r="K25" s="11"/>
      <c r="L25" s="59"/>
      <c r="M25" s="12"/>
      <c r="N25" s="11"/>
      <c r="O25" s="59"/>
      <c r="P25" s="12"/>
      <c r="Q25" s="65"/>
      <c r="R25" s="59"/>
      <c r="S25" s="51"/>
    </row>
    <row r="26" spans="1:19" s="4" customFormat="1" ht="168" customHeight="1" thickBot="1" x14ac:dyDescent="0.3">
      <c r="A26" s="12"/>
      <c r="B26" s="11"/>
      <c r="C26" s="12"/>
      <c r="D26" s="11"/>
      <c r="E26" s="28"/>
      <c r="F26" s="48"/>
      <c r="G26" s="18"/>
      <c r="H26" s="11"/>
      <c r="I26" s="59"/>
      <c r="J26" s="12"/>
      <c r="K26" s="11"/>
      <c r="L26" s="59"/>
      <c r="M26" s="12"/>
      <c r="N26" s="11"/>
      <c r="O26" s="59"/>
      <c r="P26" s="12"/>
      <c r="Q26" s="65"/>
      <c r="R26" s="59"/>
      <c r="S26" s="51"/>
    </row>
    <row r="27" spans="1:19" s="4" customFormat="1" ht="168" customHeight="1" thickBot="1" x14ac:dyDescent="0.3">
      <c r="A27" s="12"/>
      <c r="B27" s="11"/>
      <c r="C27" s="12"/>
      <c r="D27" s="11"/>
      <c r="E27" s="28"/>
      <c r="F27" s="48"/>
      <c r="G27" s="18"/>
      <c r="H27" s="11"/>
      <c r="I27" s="59"/>
      <c r="J27" s="12"/>
      <c r="K27" s="11"/>
      <c r="L27" s="59"/>
      <c r="M27" s="12"/>
      <c r="N27" s="11"/>
      <c r="O27" s="59"/>
      <c r="P27" s="12"/>
      <c r="Q27" s="65"/>
      <c r="R27" s="59"/>
      <c r="S27" s="51"/>
    </row>
    <row r="28" spans="1:19" s="4" customFormat="1" ht="168" customHeight="1" thickBot="1" x14ac:dyDescent="0.3">
      <c r="A28" s="12"/>
      <c r="B28" s="11"/>
      <c r="C28" s="12"/>
      <c r="D28" s="11"/>
      <c r="E28" s="28"/>
      <c r="F28" s="48"/>
      <c r="G28" s="18"/>
      <c r="H28" s="11"/>
      <c r="I28" s="59"/>
      <c r="J28" s="12"/>
      <c r="K28" s="11"/>
      <c r="L28" s="59"/>
      <c r="M28" s="12"/>
      <c r="N28" s="11"/>
      <c r="O28" s="59"/>
      <c r="P28" s="12"/>
      <c r="Q28" s="65"/>
      <c r="R28" s="59"/>
      <c r="S28" s="51"/>
    </row>
    <row r="29" spans="1:19" s="4" customFormat="1" ht="168" customHeight="1" thickBot="1" x14ac:dyDescent="0.3">
      <c r="A29" s="12"/>
      <c r="B29" s="11"/>
      <c r="C29" s="12"/>
      <c r="D29" s="11"/>
      <c r="E29" s="28"/>
      <c r="F29" s="48"/>
      <c r="G29" s="18"/>
      <c r="H29" s="11"/>
      <c r="I29" s="59"/>
      <c r="J29" s="12"/>
      <c r="K29" s="11"/>
      <c r="L29" s="59"/>
      <c r="M29" s="12"/>
      <c r="N29" s="11"/>
      <c r="O29" s="59"/>
      <c r="P29" s="12"/>
      <c r="Q29" s="65"/>
      <c r="R29" s="59"/>
      <c r="S29" s="51"/>
    </row>
    <row r="30" spans="1:19" s="4" customFormat="1" ht="168" customHeight="1" thickBot="1" x14ac:dyDescent="0.3">
      <c r="A30" s="12"/>
      <c r="B30" s="11"/>
      <c r="C30" s="12"/>
      <c r="D30" s="11"/>
      <c r="E30" s="28"/>
      <c r="F30" s="48"/>
      <c r="G30" s="18"/>
      <c r="H30" s="11"/>
      <c r="I30" s="59"/>
      <c r="J30" s="12"/>
      <c r="K30" s="11"/>
      <c r="L30" s="59"/>
      <c r="M30" s="12"/>
      <c r="N30" s="11"/>
      <c r="O30" s="59"/>
      <c r="P30" s="12"/>
      <c r="Q30" s="65"/>
      <c r="R30" s="59"/>
      <c r="S30" s="51"/>
    </row>
    <row r="31" spans="1:19" s="4" customFormat="1" ht="168" customHeight="1" thickBot="1" x14ac:dyDescent="0.3">
      <c r="A31" s="12"/>
      <c r="B31" s="11"/>
      <c r="C31" s="12"/>
      <c r="D31" s="11"/>
      <c r="E31" s="28"/>
      <c r="F31" s="48"/>
      <c r="G31" s="18"/>
      <c r="H31" s="11"/>
      <c r="I31" s="59"/>
      <c r="J31" s="12"/>
      <c r="K31" s="11"/>
      <c r="L31" s="59"/>
      <c r="M31" s="12"/>
      <c r="N31" s="11"/>
      <c r="O31" s="59"/>
      <c r="P31" s="12"/>
      <c r="Q31" s="65"/>
      <c r="R31" s="59"/>
      <c r="S31" s="51"/>
    </row>
    <row r="32" spans="1:19" s="4" customFormat="1" ht="168" customHeight="1" thickBot="1" x14ac:dyDescent="0.3">
      <c r="A32" s="12"/>
      <c r="B32" s="11"/>
      <c r="C32" s="12"/>
      <c r="D32" s="11"/>
      <c r="E32" s="28"/>
      <c r="F32" s="48"/>
      <c r="G32" s="18"/>
      <c r="H32" s="11"/>
      <c r="I32" s="59"/>
      <c r="J32" s="12"/>
      <c r="K32" s="11"/>
      <c r="L32" s="59"/>
      <c r="M32" s="12"/>
      <c r="N32" s="11"/>
      <c r="O32" s="59"/>
      <c r="P32" s="12"/>
      <c r="Q32" s="65"/>
      <c r="R32" s="59"/>
      <c r="S32" s="51"/>
    </row>
    <row r="33" spans="1:19" s="4" customFormat="1" ht="168" customHeight="1" thickBot="1" x14ac:dyDescent="0.3">
      <c r="A33" s="12"/>
      <c r="B33" s="11"/>
      <c r="C33" s="12"/>
      <c r="D33" s="11"/>
      <c r="E33" s="28"/>
      <c r="F33" s="48"/>
      <c r="G33" s="18"/>
      <c r="H33" s="11"/>
      <c r="I33" s="59"/>
      <c r="J33" s="12"/>
      <c r="K33" s="11"/>
      <c r="L33" s="59"/>
      <c r="M33" s="12"/>
      <c r="N33" s="11"/>
      <c r="O33" s="59"/>
      <c r="P33" s="12"/>
      <c r="Q33" s="65"/>
      <c r="R33" s="59"/>
      <c r="S33" s="51"/>
    </row>
    <row r="34" spans="1:19" s="4" customFormat="1" ht="168" customHeight="1" thickBot="1" x14ac:dyDescent="0.3">
      <c r="A34" s="12"/>
      <c r="B34" s="11"/>
      <c r="C34" s="12"/>
      <c r="D34" s="11"/>
      <c r="E34" s="28"/>
      <c r="F34" s="48"/>
      <c r="G34" s="18"/>
      <c r="H34" s="11"/>
      <c r="I34" s="59"/>
      <c r="J34" s="12"/>
      <c r="K34" s="11"/>
      <c r="L34" s="59"/>
      <c r="M34" s="12"/>
      <c r="N34" s="11"/>
      <c r="O34" s="59"/>
      <c r="P34" s="12"/>
      <c r="Q34" s="65"/>
      <c r="R34" s="59"/>
      <c r="S34" s="51"/>
    </row>
    <row r="35" spans="1:19" s="4" customFormat="1" ht="168" customHeight="1" thickBot="1" x14ac:dyDescent="0.3">
      <c r="A35" s="12"/>
      <c r="B35" s="11"/>
      <c r="C35" s="12"/>
      <c r="D35" s="11"/>
      <c r="E35" s="28"/>
      <c r="F35" s="48"/>
      <c r="G35" s="18"/>
      <c r="H35" s="11"/>
      <c r="I35" s="59"/>
      <c r="J35" s="12"/>
      <c r="K35" s="11"/>
      <c r="L35" s="59"/>
      <c r="M35" s="12"/>
      <c r="N35" s="11"/>
      <c r="O35" s="59"/>
      <c r="P35" s="12"/>
      <c r="Q35" s="65"/>
      <c r="R35" s="59"/>
      <c r="S35" s="51"/>
    </row>
    <row r="36" spans="1:19" s="4" customFormat="1" ht="168" customHeight="1" thickBot="1" x14ac:dyDescent="0.3">
      <c r="A36" s="12"/>
      <c r="B36" s="11"/>
      <c r="C36" s="12"/>
      <c r="D36" s="11"/>
      <c r="E36" s="28"/>
      <c r="F36" s="48"/>
      <c r="G36" s="18"/>
      <c r="H36" s="11"/>
      <c r="I36" s="59"/>
      <c r="J36" s="12"/>
      <c r="K36" s="11"/>
      <c r="L36" s="59"/>
      <c r="M36" s="12"/>
      <c r="N36" s="11"/>
      <c r="O36" s="59"/>
      <c r="P36" s="12"/>
      <c r="Q36" s="65"/>
      <c r="R36" s="59"/>
      <c r="S36" s="51"/>
    </row>
    <row r="37" spans="1:19" s="4" customFormat="1" ht="168" customHeight="1" thickBot="1" x14ac:dyDescent="0.3">
      <c r="A37" s="12"/>
      <c r="B37" s="11"/>
      <c r="C37" s="12"/>
      <c r="D37" s="11"/>
      <c r="E37" s="28"/>
      <c r="F37" s="48"/>
      <c r="G37" s="18"/>
      <c r="H37" s="11"/>
      <c r="I37" s="59"/>
      <c r="J37" s="12"/>
      <c r="K37" s="11"/>
      <c r="L37" s="59"/>
      <c r="M37" s="12"/>
      <c r="N37" s="11"/>
      <c r="O37" s="59"/>
      <c r="P37" s="12"/>
      <c r="Q37" s="65"/>
      <c r="R37" s="59"/>
      <c r="S37" s="51"/>
    </row>
    <row r="38" spans="1:19" s="4" customFormat="1" ht="168" customHeight="1" thickBot="1" x14ac:dyDescent="0.3">
      <c r="A38" s="12"/>
      <c r="B38" s="11"/>
      <c r="C38" s="12"/>
      <c r="D38" s="11"/>
      <c r="E38" s="28"/>
      <c r="F38" s="48"/>
      <c r="G38" s="18"/>
      <c r="H38" s="11"/>
      <c r="I38" s="59"/>
      <c r="J38" s="12"/>
      <c r="K38" s="11"/>
      <c r="L38" s="59"/>
      <c r="M38" s="12"/>
      <c r="N38" s="11"/>
      <c r="O38" s="59"/>
      <c r="P38" s="12"/>
      <c r="Q38" s="65"/>
      <c r="R38" s="59"/>
      <c r="S38" s="51"/>
    </row>
    <row r="39" spans="1:19" s="4" customFormat="1" ht="168" customHeight="1" thickBot="1" x14ac:dyDescent="0.3">
      <c r="A39" s="12"/>
      <c r="B39" s="11"/>
      <c r="C39" s="12"/>
      <c r="D39" s="11"/>
      <c r="E39" s="28"/>
      <c r="F39" s="48"/>
      <c r="G39" s="18"/>
      <c r="H39" s="11"/>
      <c r="I39" s="59"/>
      <c r="J39" s="12"/>
      <c r="K39" s="11"/>
      <c r="L39" s="59"/>
      <c r="M39" s="12"/>
      <c r="N39" s="11"/>
      <c r="O39" s="59"/>
      <c r="P39" s="12"/>
      <c r="Q39" s="65"/>
      <c r="R39" s="59"/>
      <c r="S39" s="51"/>
    </row>
    <row r="40" spans="1:19" s="4" customFormat="1" ht="168" customHeight="1" thickBot="1" x14ac:dyDescent="0.3">
      <c r="A40" s="12"/>
      <c r="B40" s="11"/>
      <c r="C40" s="12"/>
      <c r="D40" s="11"/>
      <c r="E40" s="28"/>
      <c r="F40" s="48"/>
      <c r="G40" s="18"/>
      <c r="H40" s="11"/>
      <c r="I40" s="59"/>
      <c r="J40" s="12"/>
      <c r="K40" s="11"/>
      <c r="L40" s="59"/>
      <c r="M40" s="12"/>
      <c r="N40" s="11"/>
      <c r="O40" s="59"/>
      <c r="P40" s="12"/>
      <c r="Q40" s="65"/>
      <c r="R40" s="59"/>
      <c r="S40" s="51"/>
    </row>
    <row r="41" spans="1:19" s="4" customFormat="1" ht="168" customHeight="1" thickBot="1" x14ac:dyDescent="0.3">
      <c r="A41" s="12"/>
      <c r="B41" s="11"/>
      <c r="C41" s="12"/>
      <c r="D41" s="11"/>
      <c r="E41" s="28"/>
      <c r="F41" s="48"/>
      <c r="G41" s="18"/>
      <c r="H41" s="11"/>
      <c r="I41" s="59"/>
      <c r="J41" s="12"/>
      <c r="K41" s="11"/>
      <c r="L41" s="59"/>
      <c r="M41" s="12"/>
      <c r="N41" s="11"/>
      <c r="O41" s="59"/>
      <c r="P41" s="12"/>
      <c r="Q41" s="65"/>
      <c r="R41" s="59"/>
      <c r="S41" s="51"/>
    </row>
    <row r="42" spans="1:19" s="4" customFormat="1" ht="168" customHeight="1" thickBot="1" x14ac:dyDescent="0.3">
      <c r="A42" s="12"/>
      <c r="B42" s="11"/>
      <c r="C42" s="12"/>
      <c r="D42" s="11"/>
      <c r="E42" s="28"/>
      <c r="F42" s="48"/>
      <c r="G42" s="18"/>
      <c r="H42" s="11"/>
      <c r="I42" s="59"/>
      <c r="J42" s="12"/>
      <c r="K42" s="11"/>
      <c r="L42" s="59"/>
      <c r="M42" s="12"/>
      <c r="N42" s="11"/>
      <c r="O42" s="59"/>
      <c r="P42" s="12"/>
      <c r="Q42" s="65"/>
      <c r="R42" s="59"/>
      <c r="S42" s="51"/>
    </row>
    <row r="43" spans="1:19" s="4" customFormat="1" ht="168" customHeight="1" thickBot="1" x14ac:dyDescent="0.3">
      <c r="A43" s="12"/>
      <c r="B43" s="11"/>
      <c r="C43" s="12"/>
      <c r="D43" s="11"/>
      <c r="E43" s="28"/>
      <c r="F43" s="48"/>
      <c r="G43" s="18"/>
      <c r="H43" s="11"/>
      <c r="I43" s="59"/>
      <c r="J43" s="12"/>
      <c r="K43" s="11"/>
      <c r="L43" s="59"/>
      <c r="M43" s="12"/>
      <c r="N43" s="11"/>
      <c r="O43" s="59"/>
      <c r="P43" s="12"/>
      <c r="Q43" s="65"/>
      <c r="R43" s="59"/>
      <c r="S43" s="51"/>
    </row>
    <row r="44" spans="1:19" s="4" customFormat="1" ht="168" customHeight="1" thickBot="1" x14ac:dyDescent="0.3">
      <c r="A44" s="12"/>
      <c r="B44" s="11"/>
      <c r="C44" s="12"/>
      <c r="D44" s="11"/>
      <c r="E44" s="28"/>
      <c r="F44" s="48"/>
      <c r="G44" s="18"/>
      <c r="H44" s="11"/>
      <c r="I44" s="59"/>
      <c r="J44" s="12"/>
      <c r="K44" s="11"/>
      <c r="L44" s="59"/>
      <c r="M44" s="12"/>
      <c r="N44" s="11"/>
      <c r="O44" s="59"/>
      <c r="P44" s="12"/>
      <c r="Q44" s="65"/>
      <c r="R44" s="59"/>
      <c r="S44" s="51"/>
    </row>
    <row r="45" spans="1:19" s="4" customFormat="1" ht="168" customHeight="1" thickBot="1" x14ac:dyDescent="0.3">
      <c r="A45" s="12"/>
      <c r="B45" s="11"/>
      <c r="C45" s="12"/>
      <c r="D45" s="11"/>
      <c r="E45" s="28"/>
      <c r="F45" s="48"/>
      <c r="G45" s="18"/>
      <c r="H45" s="11"/>
      <c r="I45" s="59"/>
      <c r="J45" s="12"/>
      <c r="K45" s="11"/>
      <c r="L45" s="59"/>
      <c r="M45" s="12"/>
      <c r="N45" s="11"/>
      <c r="O45" s="59"/>
      <c r="P45" s="12"/>
      <c r="Q45" s="65"/>
      <c r="R45" s="59"/>
      <c r="S45" s="51"/>
    </row>
    <row r="46" spans="1:19" s="4" customFormat="1" ht="168" customHeight="1" thickBot="1" x14ac:dyDescent="0.3">
      <c r="A46" s="12"/>
      <c r="B46" s="11"/>
      <c r="C46" s="12"/>
      <c r="D46" s="11"/>
      <c r="E46" s="28"/>
      <c r="F46" s="48"/>
      <c r="G46" s="18"/>
      <c r="H46" s="11"/>
      <c r="I46" s="59"/>
      <c r="J46" s="12"/>
      <c r="K46" s="11"/>
      <c r="L46" s="59"/>
      <c r="M46" s="12"/>
      <c r="N46" s="11"/>
      <c r="O46" s="59"/>
      <c r="P46" s="12"/>
      <c r="Q46" s="65"/>
      <c r="R46" s="59"/>
      <c r="S46" s="51"/>
    </row>
    <row r="47" spans="1:19" s="4" customFormat="1" ht="168" customHeight="1" thickBot="1" x14ac:dyDescent="0.3">
      <c r="A47" s="12"/>
      <c r="B47" s="11"/>
      <c r="C47" s="12"/>
      <c r="D47" s="11"/>
      <c r="E47" s="28"/>
      <c r="F47" s="48"/>
      <c r="G47" s="18"/>
      <c r="H47" s="11"/>
      <c r="I47" s="59"/>
      <c r="J47" s="12"/>
      <c r="K47" s="11"/>
      <c r="L47" s="59"/>
      <c r="M47" s="12"/>
      <c r="N47" s="11"/>
      <c r="O47" s="59"/>
      <c r="P47" s="12"/>
      <c r="Q47" s="65"/>
      <c r="R47" s="59"/>
      <c r="S47" s="51"/>
    </row>
    <row r="48" spans="1:19" s="4" customFormat="1" ht="168" customHeight="1" thickBot="1" x14ac:dyDescent="0.3">
      <c r="A48" s="12"/>
      <c r="B48" s="11"/>
      <c r="C48" s="12"/>
      <c r="D48" s="11"/>
      <c r="E48" s="28"/>
      <c r="F48" s="48"/>
      <c r="G48" s="18"/>
      <c r="H48" s="11"/>
      <c r="I48" s="59"/>
      <c r="J48" s="12"/>
      <c r="K48" s="11"/>
      <c r="L48" s="59"/>
      <c r="M48" s="12"/>
      <c r="N48" s="11"/>
      <c r="O48" s="59"/>
      <c r="P48" s="12"/>
      <c r="Q48" s="65"/>
      <c r="R48" s="59"/>
      <c r="S48" s="51"/>
    </row>
    <row r="49" spans="1:19" s="4" customFormat="1" ht="168" customHeight="1" thickBot="1" x14ac:dyDescent="0.3">
      <c r="A49" s="12"/>
      <c r="B49" s="11"/>
      <c r="C49" s="12"/>
      <c r="D49" s="11"/>
      <c r="E49" s="28"/>
      <c r="F49" s="48"/>
      <c r="G49" s="18"/>
      <c r="H49" s="11"/>
      <c r="I49" s="59"/>
      <c r="J49" s="12"/>
      <c r="K49" s="11"/>
      <c r="L49" s="59"/>
      <c r="M49" s="12"/>
      <c r="N49" s="11"/>
      <c r="O49" s="59"/>
      <c r="P49" s="12"/>
      <c r="Q49" s="65"/>
      <c r="R49" s="59"/>
      <c r="S49" s="51"/>
    </row>
    <row r="50" spans="1:19" s="4" customFormat="1" ht="168" customHeight="1" thickBot="1" x14ac:dyDescent="0.3">
      <c r="A50" s="12"/>
      <c r="B50" s="11"/>
      <c r="C50" s="12"/>
      <c r="D50" s="11"/>
      <c r="E50" s="28"/>
      <c r="F50" s="48"/>
      <c r="G50" s="18"/>
      <c r="H50" s="11"/>
      <c r="I50" s="59"/>
      <c r="J50" s="12"/>
      <c r="K50" s="11"/>
      <c r="L50" s="59"/>
      <c r="M50" s="12"/>
      <c r="N50" s="11"/>
      <c r="O50" s="59"/>
      <c r="P50" s="12"/>
      <c r="Q50" s="65"/>
      <c r="R50" s="59"/>
      <c r="S50" s="51"/>
    </row>
    <row r="51" spans="1:19" s="4" customFormat="1" ht="168" customHeight="1" thickBot="1" x14ac:dyDescent="0.3">
      <c r="A51" s="12"/>
      <c r="B51" s="11"/>
      <c r="C51" s="12"/>
      <c r="D51" s="11"/>
      <c r="E51" s="28"/>
      <c r="F51" s="48"/>
      <c r="G51" s="18"/>
      <c r="H51" s="11"/>
      <c r="I51" s="59"/>
      <c r="J51" s="12"/>
      <c r="K51" s="11"/>
      <c r="L51" s="59"/>
      <c r="M51" s="12"/>
      <c r="N51" s="11"/>
      <c r="O51" s="59"/>
      <c r="P51" s="12"/>
      <c r="Q51" s="65"/>
      <c r="R51" s="59"/>
      <c r="S51" s="51"/>
    </row>
    <row r="52" spans="1:19" s="4" customFormat="1" ht="168" customHeight="1" thickBot="1" x14ac:dyDescent="0.3">
      <c r="A52" s="12"/>
      <c r="B52" s="11"/>
      <c r="C52" s="12"/>
      <c r="D52" s="11"/>
      <c r="E52" s="28"/>
      <c r="F52" s="48"/>
      <c r="G52" s="18"/>
      <c r="H52" s="11"/>
      <c r="I52" s="59"/>
      <c r="J52" s="12"/>
      <c r="K52" s="11"/>
      <c r="L52" s="59"/>
      <c r="M52" s="12"/>
      <c r="N52" s="11"/>
      <c r="O52" s="59"/>
      <c r="P52" s="12"/>
      <c r="Q52" s="65"/>
      <c r="R52" s="59"/>
      <c r="S52" s="51"/>
    </row>
    <row r="53" spans="1:19" s="4" customFormat="1" ht="168" customHeight="1" thickBot="1" x14ac:dyDescent="0.3">
      <c r="A53" s="12"/>
      <c r="B53" s="11"/>
      <c r="C53" s="12"/>
      <c r="D53" s="11"/>
      <c r="E53" s="28"/>
      <c r="F53" s="48"/>
      <c r="G53" s="18"/>
      <c r="H53" s="11"/>
      <c r="I53" s="59"/>
      <c r="J53" s="12"/>
      <c r="K53" s="11"/>
      <c r="L53" s="59"/>
      <c r="M53" s="12"/>
      <c r="N53" s="11"/>
      <c r="O53" s="59"/>
      <c r="P53" s="12"/>
      <c r="Q53" s="65"/>
      <c r="R53" s="59"/>
      <c r="S53" s="51"/>
    </row>
    <row r="54" spans="1:19" s="4" customFormat="1" ht="168" customHeight="1" thickBot="1" x14ac:dyDescent="0.3">
      <c r="A54" s="12"/>
      <c r="B54" s="11"/>
      <c r="C54" s="12"/>
      <c r="D54" s="11"/>
      <c r="E54" s="28"/>
      <c r="F54" s="48"/>
      <c r="G54" s="18"/>
      <c r="H54" s="11"/>
      <c r="I54" s="59"/>
      <c r="J54" s="12"/>
      <c r="K54" s="11"/>
      <c r="L54" s="59"/>
      <c r="M54" s="12"/>
      <c r="N54" s="11"/>
      <c r="O54" s="59"/>
      <c r="P54" s="12"/>
      <c r="Q54" s="65"/>
      <c r="R54" s="59"/>
      <c r="S54" s="51"/>
    </row>
    <row r="55" spans="1:19" s="4" customFormat="1" ht="168" customHeight="1" thickBot="1" x14ac:dyDescent="0.3">
      <c r="A55" s="12"/>
      <c r="B55" s="11"/>
      <c r="C55" s="12"/>
      <c r="D55" s="11"/>
      <c r="E55" s="28"/>
      <c r="F55" s="48"/>
      <c r="G55" s="18"/>
      <c r="H55" s="11"/>
      <c r="I55" s="59"/>
      <c r="J55" s="12"/>
      <c r="K55" s="11"/>
      <c r="L55" s="59"/>
      <c r="M55" s="12"/>
      <c r="N55" s="11"/>
      <c r="O55" s="59"/>
      <c r="P55" s="12"/>
      <c r="Q55" s="65"/>
      <c r="R55" s="59"/>
      <c r="S55" s="51"/>
    </row>
    <row r="56" spans="1:19" s="4" customFormat="1" ht="168" customHeight="1" thickBot="1" x14ac:dyDescent="0.3">
      <c r="A56" s="12"/>
      <c r="B56" s="11"/>
      <c r="C56" s="12"/>
      <c r="D56" s="11"/>
      <c r="E56" s="28"/>
      <c r="F56" s="48"/>
      <c r="G56" s="18"/>
      <c r="H56" s="11"/>
      <c r="I56" s="59"/>
      <c r="J56" s="12"/>
      <c r="K56" s="11"/>
      <c r="L56" s="59"/>
      <c r="M56" s="12"/>
      <c r="N56" s="11"/>
      <c r="O56" s="59"/>
      <c r="P56" s="12"/>
      <c r="Q56" s="65"/>
      <c r="R56" s="59"/>
      <c r="S56" s="51"/>
    </row>
    <row r="57" spans="1:19" s="4" customFormat="1" ht="168" customHeight="1" thickBot="1" x14ac:dyDescent="0.3">
      <c r="A57" s="12"/>
      <c r="B57" s="11"/>
      <c r="C57" s="12"/>
      <c r="D57" s="11"/>
      <c r="E57" s="28"/>
      <c r="F57" s="48"/>
      <c r="G57" s="18"/>
      <c r="H57" s="11"/>
      <c r="I57" s="59"/>
      <c r="J57" s="12"/>
      <c r="K57" s="11"/>
      <c r="L57" s="59"/>
      <c r="M57" s="12"/>
      <c r="N57" s="11"/>
      <c r="O57" s="59"/>
      <c r="P57" s="12"/>
      <c r="Q57" s="65"/>
      <c r="R57" s="59"/>
      <c r="S57" s="51"/>
    </row>
    <row r="58" spans="1:19" s="4" customFormat="1" ht="168" customHeight="1" thickBot="1" x14ac:dyDescent="0.3">
      <c r="A58" s="12"/>
      <c r="B58" s="11"/>
      <c r="C58" s="12"/>
      <c r="D58" s="11"/>
      <c r="E58" s="28"/>
      <c r="F58" s="48"/>
      <c r="G58" s="18"/>
      <c r="H58" s="11"/>
      <c r="I58" s="59"/>
      <c r="J58" s="12"/>
      <c r="K58" s="11"/>
      <c r="L58" s="59"/>
      <c r="M58" s="12"/>
      <c r="N58" s="11"/>
      <c r="O58" s="59"/>
      <c r="P58" s="12"/>
      <c r="Q58" s="65"/>
      <c r="R58" s="59"/>
      <c r="S58" s="51"/>
    </row>
    <row r="59" spans="1:19" s="4" customFormat="1" ht="168" customHeight="1" thickBot="1" x14ac:dyDescent="0.3">
      <c r="A59" s="12"/>
      <c r="B59" s="11"/>
      <c r="C59" s="12"/>
      <c r="D59" s="11"/>
      <c r="E59" s="28"/>
      <c r="F59" s="48"/>
      <c r="G59" s="18"/>
      <c r="H59" s="11"/>
      <c r="I59" s="59"/>
      <c r="J59" s="12"/>
      <c r="K59" s="11"/>
      <c r="L59" s="59"/>
      <c r="M59" s="12"/>
      <c r="N59" s="11"/>
      <c r="O59" s="59"/>
      <c r="P59" s="12"/>
      <c r="Q59" s="65"/>
      <c r="R59" s="59"/>
      <c r="S59" s="51"/>
    </row>
    <row r="60" spans="1:19" s="4" customFormat="1" ht="168" customHeight="1" thickBot="1" x14ac:dyDescent="0.3">
      <c r="A60" s="12"/>
      <c r="B60" s="11"/>
      <c r="C60" s="12"/>
      <c r="D60" s="11"/>
      <c r="E60" s="28"/>
      <c r="F60" s="48"/>
      <c r="G60" s="18"/>
      <c r="H60" s="11"/>
      <c r="I60" s="59"/>
      <c r="J60" s="12"/>
      <c r="K60" s="11"/>
      <c r="L60" s="59"/>
      <c r="M60" s="12"/>
      <c r="N60" s="11"/>
      <c r="O60" s="59"/>
      <c r="P60" s="12"/>
      <c r="Q60" s="65"/>
      <c r="R60" s="59"/>
      <c r="S60" s="51"/>
    </row>
    <row r="61" spans="1:19" s="4" customFormat="1" ht="168" customHeight="1" thickBot="1" x14ac:dyDescent="0.3">
      <c r="A61" s="12"/>
      <c r="B61" s="11"/>
      <c r="C61" s="12"/>
      <c r="D61" s="11"/>
      <c r="E61" s="28"/>
      <c r="F61" s="48"/>
      <c r="G61" s="18"/>
      <c r="H61" s="11"/>
      <c r="I61" s="59"/>
      <c r="J61" s="12"/>
      <c r="K61" s="11"/>
      <c r="L61" s="59"/>
      <c r="M61" s="12"/>
      <c r="N61" s="11"/>
      <c r="O61" s="59"/>
      <c r="P61" s="12"/>
      <c r="Q61" s="65"/>
      <c r="R61" s="59"/>
      <c r="S61" s="51"/>
    </row>
    <row r="62" spans="1:19" s="4" customFormat="1" ht="168" customHeight="1" thickBot="1" x14ac:dyDescent="0.3">
      <c r="A62" s="12"/>
      <c r="B62" s="11"/>
      <c r="C62" s="12"/>
      <c r="D62" s="11"/>
      <c r="E62" s="28"/>
      <c r="F62" s="48"/>
      <c r="G62" s="18"/>
      <c r="H62" s="11"/>
      <c r="I62" s="59"/>
      <c r="J62" s="12"/>
      <c r="K62" s="11"/>
      <c r="L62" s="59"/>
      <c r="M62" s="12"/>
      <c r="N62" s="11"/>
      <c r="O62" s="59"/>
      <c r="P62" s="12"/>
      <c r="Q62" s="65"/>
      <c r="R62" s="59"/>
      <c r="S62" s="51"/>
    </row>
    <row r="63" spans="1:19" s="4" customFormat="1" ht="168" customHeight="1" thickBot="1" x14ac:dyDescent="0.3">
      <c r="A63" s="12"/>
      <c r="B63" s="11"/>
      <c r="C63" s="12"/>
      <c r="D63" s="11"/>
      <c r="E63" s="28"/>
      <c r="F63" s="48"/>
      <c r="G63" s="18"/>
      <c r="H63" s="11"/>
      <c r="I63" s="59"/>
      <c r="J63" s="12"/>
      <c r="K63" s="11"/>
      <c r="L63" s="59"/>
      <c r="M63" s="12"/>
      <c r="N63" s="11"/>
      <c r="O63" s="59"/>
      <c r="P63" s="12"/>
      <c r="Q63" s="65"/>
      <c r="R63" s="59"/>
      <c r="S63" s="51"/>
    </row>
    <row r="64" spans="1:19" s="4" customFormat="1" ht="168" customHeight="1" thickBot="1" x14ac:dyDescent="0.3">
      <c r="A64" s="12"/>
      <c r="B64" s="11"/>
      <c r="C64" s="12"/>
      <c r="D64" s="11"/>
      <c r="E64" s="28"/>
      <c r="F64" s="48"/>
      <c r="G64" s="18"/>
      <c r="H64" s="11"/>
      <c r="I64" s="59"/>
      <c r="J64" s="12"/>
      <c r="K64" s="11"/>
      <c r="L64" s="59"/>
      <c r="M64" s="12"/>
      <c r="N64" s="11"/>
      <c r="O64" s="59"/>
      <c r="P64" s="12"/>
      <c r="Q64" s="65"/>
      <c r="R64" s="59"/>
      <c r="S64" s="51"/>
    </row>
    <row r="65" spans="1:19" s="4" customFormat="1" ht="168" customHeight="1" thickBot="1" x14ac:dyDescent="0.3">
      <c r="A65" s="12"/>
      <c r="B65" s="11"/>
      <c r="C65" s="12"/>
      <c r="D65" s="11"/>
      <c r="E65" s="28"/>
      <c r="F65" s="48"/>
      <c r="G65" s="18"/>
      <c r="H65" s="11"/>
      <c r="I65" s="59"/>
      <c r="J65" s="12"/>
      <c r="K65" s="11"/>
      <c r="L65" s="59"/>
      <c r="M65" s="12"/>
      <c r="N65" s="11"/>
      <c r="O65" s="59"/>
      <c r="P65" s="12"/>
      <c r="Q65" s="65"/>
      <c r="R65" s="59"/>
      <c r="S65" s="51"/>
    </row>
    <row r="66" spans="1:19" s="4" customFormat="1" ht="168" customHeight="1" thickBot="1" x14ac:dyDescent="0.3">
      <c r="A66" s="12"/>
      <c r="B66" s="11"/>
      <c r="C66" s="12"/>
      <c r="D66" s="11"/>
      <c r="E66" s="28"/>
      <c r="F66" s="48"/>
      <c r="G66" s="18"/>
      <c r="H66" s="11"/>
      <c r="I66" s="59"/>
      <c r="J66" s="12"/>
      <c r="K66" s="11"/>
      <c r="L66" s="59"/>
      <c r="M66" s="12"/>
      <c r="N66" s="11"/>
      <c r="O66" s="59"/>
      <c r="P66" s="12"/>
      <c r="Q66" s="65"/>
      <c r="R66" s="59"/>
      <c r="S66" s="51"/>
    </row>
    <row r="67" spans="1:19" s="4" customFormat="1" ht="168" customHeight="1" thickBot="1" x14ac:dyDescent="0.3">
      <c r="A67" s="12"/>
      <c r="B67" s="11"/>
      <c r="C67" s="12"/>
      <c r="D67" s="11"/>
      <c r="E67" s="28"/>
      <c r="F67" s="48"/>
      <c r="G67" s="18"/>
      <c r="H67" s="11"/>
      <c r="I67" s="59"/>
      <c r="J67" s="12"/>
      <c r="K67" s="11"/>
      <c r="L67" s="59"/>
      <c r="M67" s="12"/>
      <c r="N67" s="11"/>
      <c r="O67" s="59"/>
      <c r="P67" s="12"/>
      <c r="Q67" s="65"/>
      <c r="R67" s="59"/>
      <c r="S67" s="51"/>
    </row>
    <row r="68" spans="1:19" s="4" customFormat="1" ht="168" customHeight="1" thickBot="1" x14ac:dyDescent="0.3">
      <c r="A68" s="12"/>
      <c r="B68" s="11"/>
      <c r="C68" s="12"/>
      <c r="D68" s="11"/>
      <c r="E68" s="28"/>
      <c r="F68" s="48"/>
      <c r="G68" s="18"/>
      <c r="H68" s="11"/>
      <c r="I68" s="59"/>
      <c r="J68" s="12"/>
      <c r="K68" s="11"/>
      <c r="L68" s="59"/>
      <c r="M68" s="12"/>
      <c r="N68" s="11"/>
      <c r="O68" s="59"/>
      <c r="P68" s="12"/>
      <c r="Q68" s="65"/>
      <c r="R68" s="59"/>
      <c r="S68" s="51"/>
    </row>
    <row r="69" spans="1:19" s="4" customFormat="1" ht="168" customHeight="1" thickBot="1" x14ac:dyDescent="0.3">
      <c r="A69" s="12"/>
      <c r="B69" s="11"/>
      <c r="C69" s="12"/>
      <c r="D69" s="11"/>
      <c r="E69" s="28"/>
      <c r="F69" s="48"/>
      <c r="G69" s="18"/>
      <c r="H69" s="11"/>
      <c r="I69" s="59"/>
      <c r="J69" s="12"/>
      <c r="K69" s="11"/>
      <c r="L69" s="59"/>
      <c r="M69" s="12"/>
      <c r="N69" s="11"/>
      <c r="O69" s="59"/>
      <c r="P69" s="12"/>
      <c r="Q69" s="65"/>
      <c r="R69" s="59"/>
      <c r="S69" s="51"/>
    </row>
    <row r="70" spans="1:19" s="4" customFormat="1" ht="16.5" thickBot="1" x14ac:dyDescent="0.3">
      <c r="A70" s="12"/>
      <c r="B70" s="11"/>
      <c r="C70" s="12"/>
      <c r="D70" s="11"/>
      <c r="E70" s="11"/>
      <c r="F70" s="11"/>
      <c r="G70" s="11"/>
      <c r="H70" s="11"/>
      <c r="I70" s="11"/>
      <c r="J70" s="12"/>
      <c r="K70" s="12"/>
      <c r="L70" s="12"/>
      <c r="M70" s="12"/>
      <c r="N70" s="11"/>
      <c r="O70" s="12"/>
      <c r="P70" s="11"/>
      <c r="Q70" s="104" t="s">
        <v>41</v>
      </c>
      <c r="R70" s="105"/>
      <c r="S70" s="45">
        <f>SUM(S7:S69)</f>
        <v>0</v>
      </c>
    </row>
    <row r="71" spans="1:19" s="4" customFormat="1" ht="25.5" customHeight="1" x14ac:dyDescent="0.35">
      <c r="A71" s="13"/>
      <c r="C71" s="13"/>
      <c r="L71" s="13"/>
      <c r="M71" s="13"/>
      <c r="O71" s="13"/>
      <c r="Q71" s="103" t="s">
        <v>4</v>
      </c>
      <c r="R71" s="103"/>
      <c r="S71" s="29">
        <f>S70/2</f>
        <v>0</v>
      </c>
    </row>
    <row r="72" spans="1:19" s="4" customFormat="1" ht="15.75" x14ac:dyDescent="0.25">
      <c r="A72" s="63"/>
      <c r="B72" s="63"/>
      <c r="C72" s="61"/>
      <c r="D72" s="63" t="s">
        <v>61</v>
      </c>
      <c r="E72" s="62">
        <f>COUNTIF(E7:E70,"-")</f>
        <v>0</v>
      </c>
      <c r="F72" s="63"/>
      <c r="G72" s="63"/>
      <c r="H72" s="63" t="s">
        <v>22</v>
      </c>
      <c r="I72" s="62">
        <f>COUNTIF(I7:I70,0)</f>
        <v>0</v>
      </c>
      <c r="J72" s="61"/>
      <c r="K72" s="63" t="s">
        <v>22</v>
      </c>
      <c r="L72" s="62">
        <f>COUNTIF(L7:L70,0)</f>
        <v>0</v>
      </c>
      <c r="M72" s="61"/>
      <c r="N72" s="63" t="s">
        <v>22</v>
      </c>
      <c r="O72" s="62">
        <f>COUNTIF(O7:O70,0)</f>
        <v>0</v>
      </c>
      <c r="P72" s="62"/>
      <c r="Q72" s="63" t="s">
        <v>22</v>
      </c>
      <c r="R72" s="62">
        <f>COUNTIF(R7:R70,0)</f>
        <v>0</v>
      </c>
      <c r="S72" s="63"/>
    </row>
    <row r="73" spans="1:19" x14ac:dyDescent="0.25">
      <c r="A73" s="63"/>
      <c r="B73" s="63"/>
      <c r="C73" s="61"/>
      <c r="D73" s="63"/>
      <c r="E73" s="63"/>
      <c r="F73" s="63"/>
      <c r="G73" s="63"/>
      <c r="H73" s="63" t="s">
        <v>23</v>
      </c>
      <c r="I73" s="62">
        <f>COUNTIF(I7:I70,1)</f>
        <v>0</v>
      </c>
      <c r="J73" s="61"/>
      <c r="K73" s="63" t="s">
        <v>23</v>
      </c>
      <c r="L73" s="62">
        <f>COUNTIF(L7:L70,1)</f>
        <v>0</v>
      </c>
      <c r="M73" s="61"/>
      <c r="N73" s="63" t="s">
        <v>23</v>
      </c>
      <c r="O73" s="62">
        <f>COUNTIF(O7:O70,1)</f>
        <v>0</v>
      </c>
      <c r="P73" s="62"/>
      <c r="Q73" s="63" t="s">
        <v>23</v>
      </c>
      <c r="R73" s="62">
        <f>COUNTIF(R7:R70,1)</f>
        <v>0</v>
      </c>
      <c r="S73" s="63"/>
    </row>
    <row r="74" spans="1:19" x14ac:dyDescent="0.25">
      <c r="A74" s="63"/>
      <c r="B74" s="63"/>
      <c r="C74" s="61"/>
      <c r="D74" s="63"/>
      <c r="E74" s="63"/>
      <c r="F74" s="63"/>
      <c r="G74" s="63"/>
      <c r="H74" s="63"/>
      <c r="I74" s="62"/>
      <c r="J74" s="61"/>
      <c r="K74" s="63"/>
      <c r="L74" s="62"/>
      <c r="M74" s="61"/>
      <c r="N74" s="63"/>
      <c r="O74" s="62"/>
      <c r="P74" s="62"/>
      <c r="Q74" s="63"/>
      <c r="R74" s="62"/>
      <c r="S74" s="63"/>
    </row>
  </sheetData>
  <mergeCells count="16">
    <mergeCell ref="A2:S2"/>
    <mergeCell ref="A5:A6"/>
    <mergeCell ref="B5:B6"/>
    <mergeCell ref="E5:E6"/>
    <mergeCell ref="F5:F6"/>
    <mergeCell ref="P5:R5"/>
    <mergeCell ref="P6:Q6"/>
    <mergeCell ref="J5:L5"/>
    <mergeCell ref="J6:K6"/>
    <mergeCell ref="C5:D6"/>
    <mergeCell ref="M6:N6"/>
    <mergeCell ref="Q71:R71"/>
    <mergeCell ref="Q70:R70"/>
    <mergeCell ref="M5:O5"/>
    <mergeCell ref="G5:I5"/>
    <mergeCell ref="G6:H6"/>
  </mergeCells>
  <dataValidations count="1">
    <dataValidation type="list" allowBlank="1" showInputMessage="1" showErrorMessage="1" sqref="L7:L69 O7:O69 R7:R69 I7:I69">
      <formula1>Tmb_yes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9"/>
  <sheetViews>
    <sheetView view="pageBreakPreview" zoomScale="90" zoomScaleNormal="100" zoomScaleSheetLayoutView="90" workbookViewId="0">
      <selection activeCell="E15" sqref="E15"/>
    </sheetView>
  </sheetViews>
  <sheetFormatPr defaultRowHeight="15" x14ac:dyDescent="0.25"/>
  <cols>
    <col min="1" max="1" width="14.42578125" customWidth="1"/>
    <col min="2" max="2" width="15.5703125" customWidth="1"/>
    <col min="3" max="3" width="20.5703125" hidden="1" customWidth="1"/>
    <col min="4" max="4" width="20.28515625" customWidth="1"/>
    <col min="5" max="5" width="18.7109375" customWidth="1"/>
    <col min="6" max="6" width="16.28515625" customWidth="1"/>
    <col min="7" max="7" width="23.28515625" customWidth="1"/>
  </cols>
  <sheetData>
    <row r="2" spans="1:7" ht="30" customHeight="1" thickBot="1" x14ac:dyDescent="0.45">
      <c r="A2" s="116" t="s">
        <v>53</v>
      </c>
      <c r="B2" s="116"/>
      <c r="C2" s="116"/>
      <c r="D2" s="116"/>
      <c r="E2" s="116"/>
      <c r="F2" s="116"/>
      <c r="G2" s="116"/>
    </row>
    <row r="3" spans="1:7" ht="26.25" x14ac:dyDescent="0.4">
      <c r="A3" s="41" t="str">
        <f>'Data Unit kerja'!B55</f>
        <v xml:space="preserve">UNIT KERJA  : diisi nama Unit Kerja </v>
      </c>
      <c r="B3" s="43"/>
      <c r="C3" s="43"/>
      <c r="D3" s="43"/>
      <c r="E3" s="43"/>
      <c r="F3" s="43"/>
      <c r="G3" s="43"/>
    </row>
    <row r="4" spans="1:7" ht="37.5" x14ac:dyDescent="0.25">
      <c r="A4" s="64" t="s">
        <v>63</v>
      </c>
      <c r="B4" s="21" t="s">
        <v>40</v>
      </c>
      <c r="C4" s="111" t="s">
        <v>6</v>
      </c>
      <c r="D4" s="111"/>
      <c r="E4" s="20" t="s">
        <v>56</v>
      </c>
      <c r="F4" s="21" t="s">
        <v>7</v>
      </c>
      <c r="G4" s="21" t="s">
        <v>42</v>
      </c>
    </row>
    <row r="5" spans="1:7" s="4" customFormat="1" ht="15.75" x14ac:dyDescent="0.25">
      <c r="A5" s="128" t="s">
        <v>64</v>
      </c>
      <c r="B5" s="128">
        <f>'Data Unit kerja'!E11</f>
        <v>1</v>
      </c>
      <c r="C5" s="129"/>
      <c r="D5" s="130">
        <f>'Data Unit kerja'!E19</f>
        <v>4000000</v>
      </c>
      <c r="E5" s="130">
        <f>'Data Unit kerja'!F19</f>
        <v>4000000</v>
      </c>
      <c r="F5" s="140">
        <f>D5-E5</f>
        <v>0</v>
      </c>
      <c r="G5" s="138">
        <f>+F5/E5</f>
        <v>0</v>
      </c>
    </row>
    <row r="6" spans="1:7" s="4" customFormat="1" ht="15.75" x14ac:dyDescent="0.25">
      <c r="A6" s="128" t="s">
        <v>65</v>
      </c>
      <c r="B6" s="128">
        <f>'Data Unit kerja'!E12</f>
        <v>6</v>
      </c>
      <c r="C6" s="129"/>
      <c r="D6" s="130">
        <f>'Data Unit kerja'!E20</f>
        <v>2500000</v>
      </c>
      <c r="E6" s="130">
        <f>'Data Unit kerja'!F20</f>
        <v>2450000</v>
      </c>
      <c r="F6" s="140">
        <f>D6-E6</f>
        <v>50000</v>
      </c>
      <c r="G6" s="138">
        <f>+F6/E6</f>
        <v>2.0408163265306121E-2</v>
      </c>
    </row>
    <row r="7" spans="1:7" s="4" customFormat="1" ht="15.75" x14ac:dyDescent="0.25">
      <c r="A7" s="128" t="s">
        <v>66</v>
      </c>
      <c r="B7" s="128">
        <f>'Data Unit kerja'!E13</f>
        <v>18</v>
      </c>
      <c r="C7" s="129"/>
      <c r="D7" s="130">
        <f>'Data Unit kerja'!E21</f>
        <v>2000000</v>
      </c>
      <c r="E7" s="130">
        <f>'Data Unit kerja'!F21</f>
        <v>1750000</v>
      </c>
      <c r="F7" s="140">
        <f>D7-E7</f>
        <v>250000</v>
      </c>
      <c r="G7" s="138">
        <f>+F7/E7</f>
        <v>0.14285714285714285</v>
      </c>
    </row>
    <row r="8" spans="1:7" s="4" customFormat="1" ht="15.75" x14ac:dyDescent="0.25">
      <c r="A8" s="129"/>
      <c r="B8" s="128"/>
      <c r="C8" s="129"/>
      <c r="D8" s="131"/>
      <c r="E8" s="131"/>
      <c r="F8" s="140"/>
      <c r="G8" s="138"/>
    </row>
    <row r="9" spans="1:7" s="135" customFormat="1" ht="18.75" x14ac:dyDescent="0.3">
      <c r="A9" s="132" t="s">
        <v>8</v>
      </c>
      <c r="B9" s="141">
        <f>'Data Unit kerja'!E14</f>
        <v>25</v>
      </c>
      <c r="C9" s="133"/>
      <c r="D9" s="134"/>
      <c r="E9" s="134"/>
      <c r="F9" s="134"/>
      <c r="G9" s="139">
        <f>SUM(G5:G8)</f>
        <v>0.16326530612244897</v>
      </c>
    </row>
  </sheetData>
  <mergeCells count="2">
    <mergeCell ref="A2:G2"/>
    <mergeCell ref="C4:D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31"/>
  <sheetViews>
    <sheetView workbookViewId="0">
      <selection activeCell="M22" sqref="M22"/>
    </sheetView>
  </sheetViews>
  <sheetFormatPr defaultRowHeight="15" x14ac:dyDescent="0.25"/>
  <cols>
    <col min="3" max="3" width="12.140625" customWidth="1"/>
    <col min="8" max="8" width="4.7109375" style="15" customWidth="1"/>
    <col min="9" max="9" width="35.5703125" style="23" customWidth="1"/>
    <col min="10" max="10" width="13.85546875" customWidth="1"/>
  </cols>
  <sheetData>
    <row r="2" spans="1:10" ht="35.25" customHeight="1" x14ac:dyDescent="0.25">
      <c r="A2" s="118" t="s">
        <v>16</v>
      </c>
      <c r="B2" s="118"/>
      <c r="C2" s="118"/>
      <c r="D2" s="118"/>
      <c r="E2" s="118"/>
      <c r="F2" s="118"/>
      <c r="G2" s="118"/>
      <c r="H2" s="118"/>
      <c r="I2" s="118"/>
      <c r="J2" s="118"/>
    </row>
    <row r="3" spans="1:10" ht="21" x14ac:dyDescent="0.35">
      <c r="A3" s="136" t="str">
        <f>'2. Kompensasi'!A3</f>
        <v xml:space="preserve">UNIT KERJA  : diisi nama Unit Kerja </v>
      </c>
      <c r="B3" s="40"/>
      <c r="C3" s="40"/>
      <c r="D3" s="40"/>
      <c r="E3" s="40"/>
      <c r="F3" s="40"/>
      <c r="G3" s="40"/>
      <c r="H3" s="40"/>
      <c r="I3" s="40"/>
    </row>
    <row r="4" spans="1:10" ht="26.25" customHeight="1" x14ac:dyDescent="0.25">
      <c r="A4" s="119" t="s">
        <v>17</v>
      </c>
      <c r="B4" s="119"/>
      <c r="C4" s="119"/>
      <c r="D4" s="120">
        <f>J31</f>
        <v>80</v>
      </c>
      <c r="E4" s="121"/>
      <c r="F4" s="122"/>
      <c r="H4" s="42" t="s">
        <v>10</v>
      </c>
      <c r="I4" s="42" t="s">
        <v>38</v>
      </c>
      <c r="J4" s="42" t="s">
        <v>39</v>
      </c>
    </row>
    <row r="5" spans="1:10" ht="27" customHeight="1" x14ac:dyDescent="0.25">
      <c r="H5" s="26">
        <v>1</v>
      </c>
      <c r="I5" s="27">
        <f>'Data Unit kerja'!O5</f>
        <v>0</v>
      </c>
      <c r="J5" s="27">
        <f>'Data Unit kerja'!P5</f>
        <v>80</v>
      </c>
    </row>
    <row r="6" spans="1:10" x14ac:dyDescent="0.25">
      <c r="E6" s="30"/>
      <c r="H6" s="26">
        <v>2</v>
      </c>
      <c r="I6" s="27">
        <f>'Data Unit kerja'!O6</f>
        <v>0</v>
      </c>
      <c r="J6" s="27">
        <f>'Data Unit kerja'!P6</f>
        <v>80</v>
      </c>
    </row>
    <row r="7" spans="1:10" x14ac:dyDescent="0.25">
      <c r="E7" s="30"/>
      <c r="H7" s="26">
        <v>3</v>
      </c>
      <c r="I7" s="27">
        <f>'Data Unit kerja'!O7</f>
        <v>0</v>
      </c>
      <c r="J7" s="27">
        <f>'Data Unit kerja'!P7</f>
        <v>80</v>
      </c>
    </row>
    <row r="8" spans="1:10" x14ac:dyDescent="0.25">
      <c r="E8" s="30"/>
      <c r="H8" s="26">
        <v>4</v>
      </c>
      <c r="I8" s="27">
        <f>'Data Unit kerja'!O8</f>
        <v>0</v>
      </c>
      <c r="J8" s="27">
        <f>'Data Unit kerja'!P8</f>
        <v>80</v>
      </c>
    </row>
    <row r="9" spans="1:10" x14ac:dyDescent="0.25">
      <c r="H9" s="26">
        <v>5</v>
      </c>
      <c r="I9" s="27">
        <f>'Data Unit kerja'!O9</f>
        <v>0</v>
      </c>
      <c r="J9" s="27">
        <f>'Data Unit kerja'!P9</f>
        <v>80</v>
      </c>
    </row>
    <row r="10" spans="1:10" x14ac:dyDescent="0.25">
      <c r="H10" s="26">
        <v>6</v>
      </c>
      <c r="I10" s="27">
        <f>'Data Unit kerja'!O10</f>
        <v>0</v>
      </c>
      <c r="J10" s="27">
        <f>'Data Unit kerja'!P10</f>
        <v>80</v>
      </c>
    </row>
    <row r="11" spans="1:10" x14ac:dyDescent="0.25">
      <c r="H11" s="26">
        <v>7</v>
      </c>
      <c r="I11" s="27">
        <f>'Data Unit kerja'!O11</f>
        <v>0</v>
      </c>
      <c r="J11" s="27">
        <f>'Data Unit kerja'!P11</f>
        <v>80</v>
      </c>
    </row>
    <row r="12" spans="1:10" s="47" customFormat="1" x14ac:dyDescent="0.25">
      <c r="H12" s="26">
        <v>8</v>
      </c>
      <c r="I12" s="27">
        <f>'Data Unit kerja'!O12</f>
        <v>0</v>
      </c>
      <c r="J12" s="27">
        <f>'Data Unit kerja'!P12</f>
        <v>80</v>
      </c>
    </row>
    <row r="13" spans="1:10" s="47" customFormat="1" x14ac:dyDescent="0.25">
      <c r="H13" s="26">
        <v>9</v>
      </c>
      <c r="I13" s="27">
        <f>'Data Unit kerja'!O13</f>
        <v>0</v>
      </c>
      <c r="J13" s="27">
        <f>'Data Unit kerja'!P13</f>
        <v>80</v>
      </c>
    </row>
    <row r="14" spans="1:10" s="47" customFormat="1" x14ac:dyDescent="0.25">
      <c r="H14" s="26">
        <v>10</v>
      </c>
      <c r="I14" s="27">
        <f>'Data Unit kerja'!O14</f>
        <v>0</v>
      </c>
      <c r="J14" s="27">
        <f>'Data Unit kerja'!P14</f>
        <v>80</v>
      </c>
    </row>
    <row r="15" spans="1:10" s="47" customFormat="1" x14ac:dyDescent="0.25">
      <c r="H15" s="26">
        <v>11</v>
      </c>
      <c r="I15" s="27">
        <f>'Data Unit kerja'!O15</f>
        <v>0</v>
      </c>
      <c r="J15" s="27">
        <f>'Data Unit kerja'!P15</f>
        <v>80</v>
      </c>
    </row>
    <row r="16" spans="1:10" s="47" customFormat="1" x14ac:dyDescent="0.25">
      <c r="H16" s="26">
        <v>12</v>
      </c>
      <c r="I16" s="27">
        <f>'Data Unit kerja'!O16</f>
        <v>0</v>
      </c>
      <c r="J16" s="27">
        <f>'Data Unit kerja'!P16</f>
        <v>80</v>
      </c>
    </row>
    <row r="17" spans="8:10" s="47" customFormat="1" x14ac:dyDescent="0.25">
      <c r="H17" s="26">
        <v>13</v>
      </c>
      <c r="I17" s="27">
        <f>'Data Unit kerja'!O17</f>
        <v>0</v>
      </c>
      <c r="J17" s="27">
        <f>'Data Unit kerja'!P17</f>
        <v>80</v>
      </c>
    </row>
    <row r="18" spans="8:10" s="47" customFormat="1" x14ac:dyDescent="0.25">
      <c r="H18" s="26">
        <v>14</v>
      </c>
      <c r="I18" s="27">
        <f>'Data Unit kerja'!O18</f>
        <v>0</v>
      </c>
      <c r="J18" s="27">
        <f>'Data Unit kerja'!P18</f>
        <v>80</v>
      </c>
    </row>
    <row r="19" spans="8:10" s="47" customFormat="1" x14ac:dyDescent="0.25">
      <c r="H19" s="26">
        <v>15</v>
      </c>
      <c r="I19" s="27">
        <f>'Data Unit kerja'!O19</f>
        <v>0</v>
      </c>
      <c r="J19" s="27">
        <f>'Data Unit kerja'!P19</f>
        <v>80</v>
      </c>
    </row>
    <row r="20" spans="8:10" s="47" customFormat="1" x14ac:dyDescent="0.25">
      <c r="H20" s="26">
        <v>16</v>
      </c>
      <c r="I20" s="27">
        <f>'Data Unit kerja'!O20</f>
        <v>0</v>
      </c>
      <c r="J20" s="27">
        <f>'Data Unit kerja'!P20</f>
        <v>80</v>
      </c>
    </row>
    <row r="21" spans="8:10" s="47" customFormat="1" x14ac:dyDescent="0.25">
      <c r="H21" s="26">
        <v>17</v>
      </c>
      <c r="I21" s="27">
        <f>'Data Unit kerja'!O21</f>
        <v>0</v>
      </c>
      <c r="J21" s="27">
        <f>'Data Unit kerja'!P21</f>
        <v>80</v>
      </c>
    </row>
    <row r="22" spans="8:10" s="47" customFormat="1" x14ac:dyDescent="0.25">
      <c r="H22" s="26">
        <v>18</v>
      </c>
      <c r="I22" s="27">
        <f>'Data Unit kerja'!O22</f>
        <v>0</v>
      </c>
      <c r="J22" s="27">
        <f>'Data Unit kerja'!P22</f>
        <v>80</v>
      </c>
    </row>
    <row r="23" spans="8:10" s="47" customFormat="1" x14ac:dyDescent="0.25">
      <c r="H23" s="26">
        <v>19</v>
      </c>
      <c r="I23" s="27">
        <f>'Data Unit kerja'!O23</f>
        <v>0</v>
      </c>
      <c r="J23" s="27">
        <f>'Data Unit kerja'!P23</f>
        <v>80</v>
      </c>
    </row>
    <row r="24" spans="8:10" s="47" customFormat="1" x14ac:dyDescent="0.25">
      <c r="H24" s="26">
        <v>20</v>
      </c>
      <c r="I24" s="27">
        <f>'Data Unit kerja'!O24</f>
        <v>0</v>
      </c>
      <c r="J24" s="27">
        <f>'Data Unit kerja'!P24</f>
        <v>80</v>
      </c>
    </row>
    <row r="25" spans="8:10" s="47" customFormat="1" x14ac:dyDescent="0.25">
      <c r="H25" s="26">
        <v>21</v>
      </c>
      <c r="I25" s="27">
        <f>'Data Unit kerja'!O25</f>
        <v>0</v>
      </c>
      <c r="J25" s="27">
        <f>'Data Unit kerja'!P25</f>
        <v>80</v>
      </c>
    </row>
    <row r="26" spans="8:10" s="47" customFormat="1" x14ac:dyDescent="0.25">
      <c r="H26" s="26">
        <v>22</v>
      </c>
      <c r="I26" s="27">
        <f>'Data Unit kerja'!O26</f>
        <v>0</v>
      </c>
      <c r="J26" s="27">
        <f>'Data Unit kerja'!P26</f>
        <v>80</v>
      </c>
    </row>
    <row r="27" spans="8:10" s="47" customFormat="1" x14ac:dyDescent="0.25">
      <c r="H27" s="26">
        <v>23</v>
      </c>
      <c r="I27" s="27">
        <f>'Data Unit kerja'!O27</f>
        <v>0</v>
      </c>
      <c r="J27" s="27">
        <f>'Data Unit kerja'!P27</f>
        <v>80</v>
      </c>
    </row>
    <row r="28" spans="8:10" s="47" customFormat="1" x14ac:dyDescent="0.25">
      <c r="H28" s="26">
        <v>24</v>
      </c>
      <c r="I28" s="27">
        <f>'Data Unit kerja'!O28</f>
        <v>0</v>
      </c>
      <c r="J28" s="27">
        <f>'Data Unit kerja'!P28</f>
        <v>80</v>
      </c>
    </row>
    <row r="29" spans="8:10" x14ac:dyDescent="0.25">
      <c r="H29" s="26">
        <v>25</v>
      </c>
      <c r="I29" s="27">
        <f>'Data Unit kerja'!O29</f>
        <v>0</v>
      </c>
      <c r="J29" s="27">
        <f>'Data Unit kerja'!P29</f>
        <v>80</v>
      </c>
    </row>
    <row r="30" spans="8:10" x14ac:dyDescent="0.25">
      <c r="H30" s="117" t="s">
        <v>41</v>
      </c>
      <c r="I30" s="117"/>
      <c r="J30" s="36">
        <f>SUM(J5:J29)</f>
        <v>2000</v>
      </c>
    </row>
    <row r="31" spans="8:10" x14ac:dyDescent="0.25">
      <c r="H31" s="137" t="s">
        <v>54</v>
      </c>
      <c r="I31" s="137"/>
      <c r="J31" s="87">
        <f>J30/'Data Unit kerja'!E14</f>
        <v>80</v>
      </c>
    </row>
  </sheetData>
  <mergeCells count="5">
    <mergeCell ref="H30:I30"/>
    <mergeCell ref="H31:I31"/>
    <mergeCell ref="A2:J2"/>
    <mergeCell ref="A4:C4"/>
    <mergeCell ref="D4:F4"/>
  </mergeCells>
  <pageMargins left="0.7" right="0.7" top="0.75" bottom="0.75" header="0.3" footer="0.3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I9"/>
  <sheetViews>
    <sheetView view="pageBreakPreview" zoomScale="60" zoomScaleNormal="100" workbookViewId="0">
      <selection activeCell="G5" sqref="G5"/>
    </sheetView>
  </sheetViews>
  <sheetFormatPr defaultRowHeight="15" x14ac:dyDescent="0.25"/>
  <cols>
    <col min="1" max="1" width="6.85546875" style="1" customWidth="1"/>
    <col min="2" max="3" width="29.28515625" customWidth="1"/>
    <col min="4" max="4" width="22.5703125" customWidth="1"/>
  </cols>
  <sheetData>
    <row r="2" spans="1:9" ht="33" customHeight="1" x14ac:dyDescent="0.4">
      <c r="A2" s="123" t="s">
        <v>9</v>
      </c>
      <c r="B2" s="123"/>
      <c r="C2" s="123"/>
      <c r="D2" s="123"/>
      <c r="E2" s="8"/>
      <c r="F2" s="8"/>
      <c r="G2" s="8"/>
      <c r="H2" s="8"/>
      <c r="I2" s="8"/>
    </row>
    <row r="3" spans="1:9" ht="21.75" thickBot="1" x14ac:dyDescent="0.4">
      <c r="A3" s="22" t="str">
        <f>'Data Unit kerja'!B55</f>
        <v xml:space="preserve">UNIT KERJA  : diisi nama Unit Kerja </v>
      </c>
    </row>
    <row r="4" spans="1:9" ht="30" customHeight="1" thickBot="1" x14ac:dyDescent="0.3">
      <c r="A4" s="7" t="s">
        <v>10</v>
      </c>
      <c r="B4" s="7" t="s">
        <v>11</v>
      </c>
      <c r="C4" s="7" t="s">
        <v>12</v>
      </c>
      <c r="D4" s="7" t="s">
        <v>8</v>
      </c>
    </row>
    <row r="5" spans="1:9" ht="24.75" thickTop="1" thickBot="1" x14ac:dyDescent="0.3">
      <c r="A5" s="37">
        <v>1</v>
      </c>
      <c r="B5" s="5" t="s">
        <v>13</v>
      </c>
      <c r="C5" s="142">
        <f>'Data Unit kerja'!E28</f>
        <v>0</v>
      </c>
      <c r="D5" s="143">
        <f>+C5*3</f>
        <v>0</v>
      </c>
    </row>
    <row r="6" spans="1:9" ht="24" thickBot="1" x14ac:dyDescent="0.3">
      <c r="A6" s="38">
        <v>2</v>
      </c>
      <c r="B6" s="3" t="s">
        <v>14</v>
      </c>
      <c r="C6" s="144">
        <f>'Data Unit kerja'!F28</f>
        <v>0</v>
      </c>
      <c r="D6" s="145">
        <f>+C6*2</f>
        <v>0</v>
      </c>
    </row>
    <row r="7" spans="1:9" ht="24" thickBot="1" x14ac:dyDescent="0.3">
      <c r="A7" s="39">
        <v>3</v>
      </c>
      <c r="B7" s="6" t="s">
        <v>15</v>
      </c>
      <c r="C7" s="146">
        <f>'Data Unit kerja'!G28</f>
        <v>3</v>
      </c>
      <c r="D7" s="147">
        <f>+C7</f>
        <v>3</v>
      </c>
    </row>
    <row r="8" spans="1:9" ht="24" thickBot="1" x14ac:dyDescent="0.3">
      <c r="A8" s="39"/>
      <c r="B8" s="6" t="s">
        <v>67</v>
      </c>
      <c r="C8" s="148">
        <f>'Data Unit kerja'!E14</f>
        <v>25</v>
      </c>
      <c r="D8" s="147">
        <f>SUM(D5:D7)</f>
        <v>3</v>
      </c>
    </row>
    <row r="9" spans="1:9" ht="24" thickBot="1" x14ac:dyDescent="0.3">
      <c r="A9" s="9"/>
      <c r="B9" s="2"/>
      <c r="C9" s="10" t="s">
        <v>55</v>
      </c>
      <c r="D9" s="88">
        <f>+D8/C8</f>
        <v>0.12</v>
      </c>
    </row>
  </sheetData>
  <mergeCells count="1"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8"/>
  <sheetViews>
    <sheetView workbookViewId="0">
      <pane ySplit="6" topLeftCell="A7" activePane="bottomLeft" state="frozen"/>
      <selection pane="bottomLeft" activeCell="C7" sqref="C7"/>
    </sheetView>
  </sheetViews>
  <sheetFormatPr defaultRowHeight="15" x14ac:dyDescent="0.25"/>
  <cols>
    <col min="1" max="1" width="6.42578125" customWidth="1"/>
    <col min="2" max="2" width="52.140625" customWidth="1"/>
    <col min="3" max="3" width="22.42578125" customWidth="1"/>
  </cols>
  <sheetData>
    <row r="1" spans="1:11" ht="15.75" x14ac:dyDescent="0.25">
      <c r="A1" s="125" t="s">
        <v>52</v>
      </c>
      <c r="B1" s="125"/>
      <c r="C1" s="125"/>
    </row>
    <row r="2" spans="1:11" ht="15.75" x14ac:dyDescent="0.25">
      <c r="A2" s="125" t="str">
        <f>'Data Unit kerja'!E6</f>
        <v>PEMERINTAH KABUPATEN BANGKA</v>
      </c>
      <c r="B2" s="125"/>
      <c r="C2" s="125"/>
    </row>
    <row r="3" spans="1:11" ht="19.5" customHeight="1" x14ac:dyDescent="0.3">
      <c r="A3" s="127" t="str">
        <f>'Data Unit kerja'!B56</f>
        <v>TAHUN 2016</v>
      </c>
      <c r="B3" s="127"/>
      <c r="C3" s="127"/>
    </row>
    <row r="4" spans="1:11" x14ac:dyDescent="0.25">
      <c r="A4" s="126" t="str">
        <f>'Data Unit kerja'!B55</f>
        <v xml:space="preserve">UNIT KERJA  : diisi nama Unit Kerja </v>
      </c>
      <c r="B4" s="126"/>
      <c r="C4" s="126"/>
    </row>
    <row r="5" spans="1:11" x14ac:dyDescent="0.25">
      <c r="A5" s="126"/>
      <c r="B5" s="126"/>
      <c r="C5" s="126"/>
    </row>
    <row r="6" spans="1:11" ht="21.75" customHeight="1" x14ac:dyDescent="0.25">
      <c r="A6" s="42" t="s">
        <v>10</v>
      </c>
      <c r="B6" s="42" t="s">
        <v>44</v>
      </c>
      <c r="C6" s="42" t="s">
        <v>43</v>
      </c>
    </row>
    <row r="7" spans="1:11" x14ac:dyDescent="0.25">
      <c r="A7" s="24" t="s">
        <v>27</v>
      </c>
      <c r="B7" s="25" t="s">
        <v>57</v>
      </c>
      <c r="C7" s="32">
        <f>'1. Kompetensi '!S71</f>
        <v>0</v>
      </c>
      <c r="H7" s="30"/>
      <c r="I7" s="30"/>
      <c r="J7" s="30"/>
      <c r="K7" s="30"/>
    </row>
    <row r="8" spans="1:11" x14ac:dyDescent="0.25">
      <c r="A8" s="24" t="s">
        <v>28</v>
      </c>
      <c r="B8" s="25" t="s">
        <v>58</v>
      </c>
      <c r="C8" s="32">
        <f>'2. Kompensasi'!$G$9</f>
        <v>0.16326530612244897</v>
      </c>
      <c r="E8" s="30" t="s">
        <v>51</v>
      </c>
    </row>
    <row r="9" spans="1:11" x14ac:dyDescent="0.25">
      <c r="A9" s="24" t="s">
        <v>46</v>
      </c>
      <c r="B9" s="25" t="s">
        <v>45</v>
      </c>
      <c r="C9" s="32">
        <f>'3. Kinerja'!D4</f>
        <v>80</v>
      </c>
      <c r="E9" s="31" t="s">
        <v>49</v>
      </c>
      <c r="F9" s="33" t="s">
        <v>48</v>
      </c>
      <c r="G9" s="30"/>
    </row>
    <row r="10" spans="1:11" x14ac:dyDescent="0.25">
      <c r="A10" s="24" t="s">
        <v>47</v>
      </c>
      <c r="B10" s="25" t="s">
        <v>59</v>
      </c>
      <c r="C10" s="32">
        <f>'4. Disiplin'!D9</f>
        <v>0.12</v>
      </c>
    </row>
    <row r="11" spans="1:11" ht="34.5" customHeight="1" x14ac:dyDescent="0.25">
      <c r="A11" s="124" t="s">
        <v>50</v>
      </c>
      <c r="B11" s="124"/>
      <c r="C11" s="34">
        <f>(25*(1-C7))+(25*(1-C8))+((25*C9)/100)+(25*(1-C10))</f>
        <v>87.91836734693878</v>
      </c>
    </row>
    <row r="13" spans="1:11" x14ac:dyDescent="0.25">
      <c r="B13" s="49" t="s">
        <v>62</v>
      </c>
    </row>
    <row r="14" spans="1:11" x14ac:dyDescent="0.25">
      <c r="B14" s="47" t="str">
        <f>"1. Kesenjangan Pendidikan = "&amp;TEXT('1. Kompetensi '!I73-'1. Kompetensi '!E72,"0")&amp;" pegawai."</f>
        <v>1. Kesenjangan Pendidikan = 0 pegawai.</v>
      </c>
    </row>
    <row r="15" spans="1:11" x14ac:dyDescent="0.25">
      <c r="B15" s="47" t="str">
        <f>"2. Kesenjangan Pelatihan = "&amp;TEXT('1. Kompetensi '!L73-'1. Kompetensi '!E72,"0")&amp;" pegawai."</f>
        <v>2. Kesenjangan Pelatihan = 0 pegawai.</v>
      </c>
    </row>
    <row r="16" spans="1:11" x14ac:dyDescent="0.25">
      <c r="B16" s="47" t="str">
        <f>"3. Kesenjangan Pengalaman = "&amp;TEXT('1. Kompetensi '!O73-'1. Kompetensi '!E72,"0")&amp;" pegawai."</f>
        <v>3. Kesenjangan Pengalaman = 0 pegawai.</v>
      </c>
    </row>
    <row r="17" spans="2:2" x14ac:dyDescent="0.25">
      <c r="B17" s="47" t="str">
        <f>"4. Kesenjangan Administrasi = "&amp;TEXT('1. Kompetensi '!R73-'1. Kompetensi '!E72,"0")&amp;" pegawai."</f>
        <v>4. Kesenjangan Administrasi = 0 pegawai.</v>
      </c>
    </row>
    <row r="18" spans="2:2" x14ac:dyDescent="0.25">
      <c r="B18" s="47" t="str">
        <f>"5. Jabatan Kosong = "&amp;TEXT('1. Kompetensi '!E72,"0")&amp;""</f>
        <v>5. Jabatan Kosong = 0</v>
      </c>
    </row>
  </sheetData>
  <mergeCells count="6">
    <mergeCell ref="A11:B11"/>
    <mergeCell ref="A1:C1"/>
    <mergeCell ref="A2:C2"/>
    <mergeCell ref="A4:C4"/>
    <mergeCell ref="A5:C5"/>
    <mergeCell ref="A3:C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M16" sqref="M16"/>
    </sheetView>
  </sheetViews>
  <sheetFormatPr defaultRowHeight="15" x14ac:dyDescent="0.25"/>
  <sheetData>
    <row r="1" spans="1:2" ht="15.75" x14ac:dyDescent="0.25">
      <c r="A1" s="13"/>
      <c r="B1" s="16" t="s">
        <v>32</v>
      </c>
    </row>
    <row r="2" spans="1:2" x14ac:dyDescent="0.25">
      <c r="A2" s="1" t="s">
        <v>27</v>
      </c>
      <c r="B2" s="17" t="s">
        <v>29</v>
      </c>
    </row>
    <row r="3" spans="1:2" x14ac:dyDescent="0.25">
      <c r="A3" s="1"/>
      <c r="B3" s="17" t="s">
        <v>30</v>
      </c>
    </row>
    <row r="4" spans="1:2" x14ac:dyDescent="0.25">
      <c r="A4" s="1"/>
      <c r="B4" s="17" t="s">
        <v>31</v>
      </c>
    </row>
    <row r="5" spans="1:2" x14ac:dyDescent="0.25">
      <c r="A5" s="1" t="s">
        <v>28</v>
      </c>
      <c r="B5" t="s">
        <v>26</v>
      </c>
    </row>
    <row r="6" spans="1:2" x14ac:dyDescent="0.25">
      <c r="A6" s="1"/>
    </row>
    <row r="7" spans="1:2" x14ac:dyDescent="0.25">
      <c r="A7" s="1"/>
      <c r="B7" t="s">
        <v>33</v>
      </c>
    </row>
    <row r="8" spans="1:2" x14ac:dyDescent="0.25">
      <c r="A8" s="1"/>
      <c r="B8" t="s">
        <v>34</v>
      </c>
    </row>
    <row r="9" spans="1:2" x14ac:dyDescent="0.25">
      <c r="A9" s="1"/>
      <c r="B9" t="s">
        <v>35</v>
      </c>
    </row>
    <row r="10" spans="1:2" x14ac:dyDescent="0.25">
      <c r="A10" s="1"/>
      <c r="B10" t="s">
        <v>36</v>
      </c>
    </row>
    <row r="11" spans="1:2" x14ac:dyDescent="0.25">
      <c r="A11" s="1"/>
      <c r="B11" t="s">
        <v>37</v>
      </c>
    </row>
    <row r="12" spans="1:2" x14ac:dyDescent="0.25">
      <c r="A12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D7" sqref="D7"/>
    </sheetView>
  </sheetViews>
  <sheetFormatPr defaultRowHeight="15" x14ac:dyDescent="0.25"/>
  <cols>
    <col min="1" max="1" width="6.85546875" style="52" customWidth="1"/>
    <col min="2" max="3" width="9.140625" style="52"/>
    <col min="4" max="4" width="5.28515625" style="52" customWidth="1"/>
    <col min="5" max="10" width="9.140625" style="52"/>
    <col min="11" max="11" width="20.28515625" style="52" customWidth="1"/>
    <col min="12" max="12" width="7.28515625" style="52" customWidth="1"/>
    <col min="13" max="13" width="6" style="52" customWidth="1"/>
    <col min="14" max="16384" width="9.140625" style="52"/>
  </cols>
  <sheetData>
    <row r="1" spans="1:13" ht="25.5" customHeight="1" x14ac:dyDescent="0.3">
      <c r="A1" s="60">
        <v>0</v>
      </c>
      <c r="D1" s="58">
        <v>1</v>
      </c>
      <c r="E1" s="57"/>
      <c r="F1" s="58">
        <v>1</v>
      </c>
      <c r="G1" s="57"/>
      <c r="H1" s="58">
        <v>0</v>
      </c>
      <c r="I1" s="57"/>
      <c r="J1" s="58">
        <v>1</v>
      </c>
      <c r="K1" s="54"/>
      <c r="L1" s="55" t="s">
        <v>4</v>
      </c>
      <c r="M1" s="56">
        <f>+D1+F1+H1+J1</f>
        <v>3</v>
      </c>
    </row>
    <row r="2" spans="1:13" ht="18.75" x14ac:dyDescent="0.3">
      <c r="A2" s="60">
        <v>1</v>
      </c>
      <c r="M2" s="53"/>
    </row>
    <row r="7" spans="1:13" ht="36" customHeight="1" x14ac:dyDescent="0.25">
      <c r="D7" s="59">
        <v>0</v>
      </c>
    </row>
  </sheetData>
  <dataValidations count="2">
    <dataValidation type="list" allowBlank="1" showInputMessage="1" showErrorMessage="1" sqref="C1">
      <formula1>"tombol"</formula1>
    </dataValidation>
    <dataValidation type="list" allowBlank="1" showInputMessage="1" showErrorMessage="1" sqref="D1 H1 F1 J1 D7">
      <formula1>Tmb_yes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>
      <selection activeCell="D5" sqref="D5"/>
    </sheetView>
  </sheetViews>
  <sheetFormatPr defaultRowHeight="15" x14ac:dyDescent="0.25"/>
  <sheetData>
    <row r="3" spans="3:4" x14ac:dyDescent="0.25">
      <c r="C3" t="s">
        <v>118</v>
      </c>
    </row>
    <row r="4" spans="3:4" x14ac:dyDescent="0.25">
      <c r="C4">
        <v>5</v>
      </c>
      <c r="D4">
        <f>5*3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Data Unit kerja</vt:lpstr>
      <vt:lpstr>1. Kompetensi </vt:lpstr>
      <vt:lpstr>2. Kompensasi</vt:lpstr>
      <vt:lpstr>3. Kinerja</vt:lpstr>
      <vt:lpstr>4. Disiplin</vt:lpstr>
      <vt:lpstr>Cetak IPP</vt:lpstr>
      <vt:lpstr>CATATAN</vt:lpstr>
      <vt:lpstr>tombol</vt:lpstr>
      <vt:lpstr>Sheet1</vt:lpstr>
      <vt:lpstr>'1. Kompetensi '!Print_Area</vt:lpstr>
      <vt:lpstr>'1. Kompetensi '!Print_Titles</vt:lpstr>
      <vt:lpstr>Tmb_yes</vt:lpstr>
      <vt:lpstr>Tombol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user</cp:lastModifiedBy>
  <cp:lastPrinted>2016-08-15T06:38:45Z</cp:lastPrinted>
  <dcterms:created xsi:type="dcterms:W3CDTF">2016-06-28T07:59:19Z</dcterms:created>
  <dcterms:modified xsi:type="dcterms:W3CDTF">2017-02-26T05:39:35Z</dcterms:modified>
</cp:coreProperties>
</file>